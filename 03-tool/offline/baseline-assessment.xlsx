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sessment Sheet" state="visible" r:id="rId4"/>
    <sheet sheetId="2" name="Summary" state="visible" r:id="rId5"/>
    <sheet sheetId="3" name="Gap List" state="visible" r:id="rId6"/>
    <sheet sheetId="4" name="Architecture View" state="visible" r:id="rId7"/>
    <sheet sheetId="5" name="Notes" state="visible" r:id="rId8"/>
  </sheets>
  <definedNames>
    <definedName name="_xlnm.Print_Titles" localSheetId="0">'Assessment Sheet'!$1:$1</definedName>
  </definedNames>
  <calcPr calcId="171027" fullCalcOnLoad="1"/>
</workbook>
</file>

<file path=xl/sharedStrings.xml><?xml version="1.0" encoding="utf-8"?>
<sst xmlns="http://schemas.openxmlformats.org/spreadsheetml/2006/main" count="5642" uniqueCount="727">
  <si>
    <t>ID</t>
  </si>
  <si>
    <t>Chapter</t>
  </si>
  <si>
    <t>Section</t>
  </si>
  <si>
    <t>Enforcement Component</t>
  </si>
  <si>
    <t>Requirement</t>
  </si>
  <si>
    <t>Minimum level</t>
  </si>
  <si>
    <t>L1</t>
  </si>
  <si>
    <t>L2</t>
  </si>
  <si>
    <t>L3</t>
  </si>
  <si>
    <t>Applicability</t>
  </si>
  <si>
    <t>Status</t>
  </si>
  <si>
    <t>Evidence and Notes</t>
  </si>
  <si>
    <t>Owner</t>
  </si>
  <si>
    <t>Planned Completion</t>
  </si>
  <si>
    <t>Level No.</t>
  </si>
  <si>
    <t>V1.1.1</t>
  </si>
  <si>
    <t>V1 Identity and Authentication</t>
  </si>
  <si>
    <t>V1.1 User Authentication</t>
  </si>
  <si>
    <t>Identity layer</t>
  </si>
  <si>
    <t>The platform and all its channels shall allow login only through the enterprise IdP (OIDC or SAML) and shall not provide independent local accounts, except for the break-glass accounts specified in V10.5</t>
  </si>
  <si>
    <t>✓</t>
  </si>
  <si>
    <t>All platforms</t>
  </si>
  <si>
    <t>Not assessed</t>
  </si>
  <si>
    <t/>
  </si>
  <si>
    <t>V1.1.2</t>
  </si>
  <si>
    <t>Users and groups shall be synchronized through SCIM or an equivalent mechanism, and users disabled in the IdP shall be disabled in the platform in sync</t>
  </si>
  <si>
    <t>V1.1.3</t>
  </si>
  <si>
    <t>The authentication time and authentication strength issued by the IdP shall be retained in the user session for use in the step-up authentication decisions of V3.5</t>
  </si>
  <si>
    <t>V1.1.4</t>
  </si>
  <si>
    <t>Credentials used to invoke agents through an API (such as API keys and personal access tokens) shall be bound to a specific user or non-human identity in the enterprise IdP, shall have an expiration time and a permission scope set, and shall be revoked automatically when the identity is disabled</t>
  </si>
  <si>
    <t>V1.2.1</t>
  </si>
  <si>
    <t>V1.2 Channel Identity Mapping</t>
  </si>
  <si>
    <t>Interaction channel</t>
  </si>
  <si>
    <t>A channel account shall be bound to an enterprise identity through a one-time SSO login before it can invoke an agent</t>
  </si>
  <si>
    <t>Platforms that support third-party channels such as IM, email, and browser extensions</t>
  </si>
  <si>
    <t>V1.2.2</t>
  </si>
  <si>
    <t>The SSO binding result shall be the sole basis for identifying a channel account. Matching by nickname, display name, or email string is not permitted. The email channel follows V1.2.6.</t>
  </si>
  <si>
    <t>V1.2.3</t>
  </si>
  <si>
    <t>When a user is disabled in the IdP, all of that user's channel bindings shall be invalidated in sync</t>
  </si>
  <si>
    <t>V1.2.4</t>
  </si>
  <si>
    <t>Accounts from external visitors and from cross-organization shared channels shall be identified, and the agents and capabilities available to them shall be restricted separately</t>
  </si>
  <si>
    <t>V1.2.5</t>
  </si>
  <si>
    <t>When a high-risk operation is triggered within a channel, the user shall be required to complete step-up authentication through the enterprise IdP</t>
  </si>
  <si>
    <t>V1.2.6</t>
  </si>
  <si>
    <t>The email channel shall accept only email that passes DMARC verification (SPF or DKIM passing and aligned with the From domain). Senders from external domains shall not be able to trigger operations on behalf of a user.</t>
  </si>
  <si>
    <t>V1.3.1</t>
  </si>
  <si>
    <t>V1.3 Agent Identity</t>
  </si>
  <si>
    <t>Each agent shall have a unique identifier issued by the platform. The platform shall not accept identities self-reported by the agent.</t>
  </si>
  <si>
    <t>V1.3.2</t>
  </si>
  <si>
    <t>An independent non-human identity shall be established in the enterprise directory for each autonomous agent. No employee's personal account shall be used.</t>
  </si>
  <si>
    <t>V1.3.3</t>
  </si>
  <si>
    <t>Downstream systems</t>
  </si>
  <si>
    <t>When an autonomous agent accesses downstream systems, it shall use the identity established under V1.3.2, and the principal recorded in downstream logs shall be that agent</t>
  </si>
  <si>
    <t>V1.3.4</t>
  </si>
  <si>
    <t>When an autonomous agent accesses downstream systems, it shall use short-lived tokens and shall not use long-term static keys</t>
  </si>
  <si>
    <t>V1.3.5</t>
  </si>
  <si>
    <t>The keys and certificates of an autonomous agent shall have processes for issuance, rotation, and revocation, and the rotation period shall have an upper limit</t>
  </si>
  <si>
    <t>V1.4.1</t>
  </si>
  <si>
    <t>V1.4 Workload Identity</t>
  </si>
  <si>
    <t>The platform shall issue a short-lived workload identity to the execution instance of each session and bind it to that instance</t>
  </si>
  <si>
    <t>Platforms that assign an independent execution instance (such as a container, sandbox, or virtual machine) to each session</t>
  </si>
  <si>
    <t>V1.4.2</t>
  </si>
  <si>
    <t>Harness</t>
  </si>
  <si>
    <t>The credentials of the workload identity shall be invisible to the model and shall not enter the context or tool return values</t>
  </si>
  <si>
    <t>V1.4.3</t>
  </si>
  <si>
    <t>Egress gateway</t>
  </si>
  <si>
    <t>The egress gateway shall determine the user and agent solely from the workload identity and shall ignore user or agent identifiers self-reported in the request</t>
  </si>
  <si>
    <t>V1.4.4</t>
  </si>
  <si>
    <t>When a session ends or an execution instance is destroyed, the corresponding workload identity shall be revoked immediately</t>
  </si>
  <si>
    <t>V1.4.5</t>
  </si>
  <si>
    <t>Before issuing a workload identity, the platform shall perform workload attestation on the execution instance (such as node attestation and workload attestation in SPIFFE/SPIRE). The identity shall not be issued if attestation fails.</t>
  </si>
  <si>
    <t>V1.5.1</t>
  </si>
  <si>
    <t>V1.5 External Principals</t>
  </si>
  <si>
    <t>External principals shall be accessed through identity federation, and no shared account shall be created for them</t>
  </si>
  <si>
    <t>Platforms that open agent capabilities to customers or partners</t>
  </si>
  <si>
    <t>V1.5.2</t>
  </si>
  <si>
    <t>Policy decision point</t>
  </si>
  <si>
    <t>External principals shall have access only to the workspaces and interfaces made available to them</t>
  </si>
  <si>
    <t>V1.5.3</t>
  </si>
  <si>
    <t>Audit</t>
  </si>
  <si>
    <t>Invocations by external principals shall be recorded separately in the audit log and shall be filterable by external organization</t>
  </si>
  <si>
    <t>V2.1.1</t>
  </si>
  <si>
    <t>V2 Delegation and Effective Permissions</t>
  </si>
  <si>
    <t>V2.1 Access on Behalf of a User</t>
  </si>
  <si>
    <t>When the user is present, an agent accessing downstream systems shall carry the identity of the initiating user, and the downstream system shall make its authorization decision based on that user. Downstream systems that do not support user-level authorization decisions are handled under V4.4.</t>
  </si>
  <si>
    <t>V2.1.2</t>
  </si>
  <si>
    <t>Shared credentials with higher permissions than the initiating user shall not be used to access downstream systems on the user's behalf. Downstream systems that support only shared static credentials are handled by compensating controls under V4.4.</t>
  </si>
  <si>
    <t>V2.1.3</t>
  </si>
  <si>
    <t>Downstream tokens shall identify both the initiating user and the executing agent (such as the act claim in RFC 8693)</t>
  </si>
  <si>
    <t>V2.2.1</t>
  </si>
  <si>
    <t>V2.2 Effective Permissions</t>
  </si>
  <si>
    <t>The effective permissions of each invocation shall be the intersection of the user's permissions and the agent authorization scope</t>
  </si>
  <si>
    <t>V2.2.2</t>
  </si>
  <si>
    <t>Effective permissions shall be computed by the policy decision point and shall not depend on the system prompt or on the model's judgment</t>
  </si>
  <si>
    <t>V2.2.3</t>
  </si>
  <si>
    <t>At the start of a task, the required tool and data scope shall be declared. During execution, only permissions within the declared scope shall be granted. The declaration is provided by the user or by agent configuration, and any scope proposed by the model shall take effect only after user confirmation.</t>
  </si>
  <si>
    <t>V2.2.4</t>
  </si>
  <si>
    <t>Invocations beyond the task's declared scope shall be rejected or require approval</t>
  </si>
  <si>
    <t>V2.2.5</t>
  </si>
  <si>
    <t>Effective permissions shall be recomputed on each tool invocation and shall not reuse the authorization result from the start of the session</t>
  </si>
  <si>
    <t>V2.2.6</t>
  </si>
  <si>
    <t>Authorization for high-risk operations shall be refined to specific resources and parameters (for example, using RFC 9396 Rich Authorization Requests to describe the authorization details) and shall not grant only coarse-grained roles</t>
  </si>
  <si>
    <t>V2.3.1</t>
  </si>
  <si>
    <t>V2.3 Offline Delegated Tasks</t>
  </si>
  <si>
    <t>An offline delegated task shall be rooted in its creating user. The permission upper limit shall be fixed at creation and can only be narrowed thereafter.</t>
  </si>
  <si>
    <t>Platforms that support scheduled or long-running tasks</t>
  </si>
  <si>
    <t>V2.3.2</t>
  </si>
  <si>
    <t>The account status and current permissions of the creating user shall be rechecked before each run</t>
  </si>
  <si>
    <t>V2.3.3</t>
  </si>
  <si>
    <t>The scheduler shall store only task identifiers and shall not store user credentials or directly usable tokens</t>
  </si>
  <si>
    <t>V2.3.4</t>
  </si>
  <si>
    <t>Management plane</t>
  </si>
  <si>
    <t>When the creating user is disabled, their offline delegated tasks shall stop automatically, and the owner of the agent shall be notified</t>
  </si>
  <si>
    <t>V2.3.5</t>
  </si>
  <si>
    <t>For tasks that must continue running after the creating user leaves or changes roles, the tasks shall be converted to autonomous agents and reauthorized through approval before the user's account is disabled</t>
  </si>
  <si>
    <t>V2.3.6</t>
  </si>
  <si>
    <t>The authorization for an offline delegated task shall have an expiration time, after which the creating user must reconfirm it</t>
  </si>
  <si>
    <t>V2.4.1</t>
  </si>
  <si>
    <t>V2.4 Inter-Agent Delegation</t>
  </si>
  <si>
    <t>The effective permissions of a downstream agent shall not exceed the permissions of the initiating user or the delegation scope granted by the upstream agent. The initiating user shall not obtain, through a downstream agent, permissions that the user does not hold.</t>
  </si>
  <si>
    <t>Platforms that support multi-agent collaboration or sub-agents</t>
  </si>
  <si>
    <t>V2.4.2</t>
  </si>
  <si>
    <t>For sub-agents derived by the harness, the available tools and permissions shall be a subset of those of the parent agent</t>
  </si>
  <si>
    <t>V2.4.3</t>
  </si>
  <si>
    <t>The delegation chain shall be constructed and recorded by the platform. Identity assertions not signed by the platform or by a trusted authorization server shall not be accepted.</t>
  </si>
  <si>
    <t>V2.4.4</t>
  </si>
  <si>
    <t>Which agents may invoke which other agents shall be explicitly configured. Invocations that are not configured shall be rejected.</t>
  </si>
  <si>
    <t>V2.4.5</t>
  </si>
  <si>
    <t>The depth of the delegation chain shall be limited, and circular invocations shall be detected and blocked</t>
  </si>
  <si>
    <t>V2.4.6</t>
  </si>
  <si>
    <t>In multi-hop delegation, downstream tokens shall carry the complete executor chain (such as nested act claims in RFC 8693) so that downstream systems can make authorization decisions accordingly</t>
  </si>
  <si>
    <t>V2.4.7</t>
  </si>
  <si>
    <t>For cross-service invocations within the same trust domain, tokens carrying user, agent, and task context shall be propagated along the call chain (such as the Transaction Tokens draft), so that downstream systems can make authorization decisions accordingly</t>
  </si>
  <si>
    <t>V2.5.1</t>
  </si>
  <si>
    <t>V2.5 Inter-User Delegation and Temporary Privilege Elevation</t>
  </si>
  <si>
    <t>When a user permits others to operate the user's agent on their behalf (for example, an assistant acting for a manager), the delegation relationship shall be explicitly registered, with a defined scope and period</t>
  </si>
  <si>
    <t>Platforms that let users operate agents on behalf of others, or that support temporary privilege elevation for agents</t>
  </si>
  <si>
    <t>V2.5.2</t>
  </si>
  <si>
    <t>When operating on behalf of another person, audit shall record both the principal and the person who actually performed the operation</t>
  </si>
  <si>
    <t>V2.5.3</t>
  </si>
  <si>
    <t>When an agent requires permissions beyond its authorization scope, they shall be granted for a limited time through request and approval, and they shall be withdrawn automatically upon expiry</t>
  </si>
  <si>
    <t>V2.6.1</t>
  </si>
  <si>
    <t>V2.6 Event-Triggered Authorization</t>
  </si>
  <si>
    <t>Inbound events shall have their signatures and sources verified, and events that fail verification shall be rejected</t>
  </si>
  <si>
    <t>Platforms that support agents triggered by events such as webhooks, alerts, or tickets</t>
  </si>
  <si>
    <t>V2.6.2</t>
  </si>
  <si>
    <t>Each trigger rule shall be bound to an execution identity, namely the identity of an autonomous agent or the identity of the person who configured the rule</t>
  </si>
  <si>
    <t>V2.6.3</t>
  </si>
  <si>
    <t>The creation and modification of trigger rules shall be recorded in the audit log and shall identify the person who configured them</t>
  </si>
  <si>
    <t>V3.1.1</t>
  </si>
  <si>
    <t>V3 Authorization Decisions</t>
  </si>
  <si>
    <t>V3.1 Operation Risk Classification</t>
  </si>
  <si>
    <t>Each tool shall be labeled with an operation category (distinguishing at least read, write, delete, outbound transfer, fund operation, and production change) and a risk level</t>
  </si>
  <si>
    <t>V3.1.2</t>
  </si>
  <si>
    <t>The risk level shall be determined by the platform based on the tool and its parameters, and shall not be based on the risk assessment given by the model</t>
  </si>
  <si>
    <t>V3.1.3</t>
  </si>
  <si>
    <t>Each risk level shall correspond to a defined disposition, such as automatic execution, after-the-fact notification, prior approval, step-up authentication, or rejection</t>
  </si>
  <si>
    <t>V3.1.4</t>
  </si>
  <si>
    <t>The same tool, under parameters with different scopes of impact (such as deleting one record versus bulk deletion), shall be able to fall into different levels</t>
  </si>
  <si>
    <t>V3.2.1</t>
  </si>
  <si>
    <t>V3.2 Pre-Invocation Validation for Tool Calls</t>
  </si>
  <si>
    <t>Every tool invocation shall pass a policy check before execution. The check shall run in a component that the agent cannot modify (a platform-hosted harness, the policy decision point, or the egress gateway). Authorization decisions shall not be based on the output of the model used by the agent being checked.</t>
  </si>
  <si>
    <t>V3.2.2</t>
  </si>
  <si>
    <t>Security constraints shall be enforced by the policy enforcement point (the harness or the egress gateway) according to the decisions of the policy decision point, and they shall not exist only in the system prompt</t>
  </si>
  <si>
    <t>V3.2.3</t>
  </si>
  <si>
    <t>The policies and hooks for pre-execution checks shall be distributed by the platform, and the agent itself shall not be able to modify or bypass them</t>
  </si>
  <si>
    <t>V3.2.4</t>
  </si>
  <si>
    <t>When a policy check errors or times out, the default shall be to deny</t>
  </si>
  <si>
    <t>V3.2.5</t>
  </si>
  <si>
    <t>The policy decision point shall interact with the policy enforcement point through a standardized authorization interface (such as OpenID AuthZEN) to facilitate replacement of the policy engine</t>
  </si>
  <si>
    <t>V3.3.1</t>
  </si>
  <si>
    <t>V3.3 Tool Exposure</t>
  </si>
  <si>
    <t>The tool list provided to the model shall be filtered by current effective permissions, so that the model cannot see tools it is not authorized to use</t>
  </si>
  <si>
    <t>V3.3.2</t>
  </si>
  <si>
    <t>Beyond trimming the tool list, V3.2 validation shall still be applied before execution</t>
  </si>
  <si>
    <t>V3.4.1</t>
  </si>
  <si>
    <t>V3.4 Human Approval</t>
  </si>
  <si>
    <t>High-risk operations shall be approved, before execution, by a person authorized to approve them. Operations not subject to dual control may be approved by the initiating user.</t>
  </si>
  <si>
    <t>V3.4.2</t>
  </si>
  <si>
    <t>Approval content shall be generated by the platform from the actual invocation parameters and shall not use a summary written by the model</t>
  </si>
  <si>
    <t>V3.4.3</t>
  </si>
  <si>
    <t>At execution, the actual parameters shall be verified to match those at approval, and execution shall be rejected if they do not match. For invocations executed under a pre-approved plan per V3.4.6, the invocation shall be verified to be within the plan's scope.</t>
  </si>
  <si>
    <t>V3.4.4</t>
  </si>
  <si>
    <t>Approvals shall have a validity period, and an approval request that expires without a decision shall be treated as rejected</t>
  </si>
  <si>
    <t>V3.4.5</t>
  </si>
  <si>
    <t>The frequency of approval requests shall be limited and similar requests shall be merged to prevent approval fatigue</t>
  </si>
  <si>
    <t>V3.4.6</t>
  </si>
  <si>
    <t>The platform shall support pre-approved execution plans that specify tools, resource scope, and limits. Operations within the plan's scope are not approved individually each time. Operations exceeding the scope shall be aborted and reapproved.</t>
  </si>
  <si>
    <t>V3.5.1</t>
  </si>
  <si>
    <t>V3.5 Step-Up Authentication and Continuous Access Evaluation</t>
  </si>
  <si>
    <t>Operations such as fund transfers, production changes, and bulk deletion shall require the user to complete step-up authentication (such as re-completing MFA)</t>
  </si>
  <si>
    <t>V3.5.2</t>
  </si>
  <si>
    <t>The platform shall receive session risk signals from the IdP (such as CAEP). When risk rises, it shall lower the level of operations the agent may perform or suspend the agent.</t>
  </si>
  <si>
    <t>V3.6.1</t>
  </si>
  <si>
    <t>V3.6 Separation of Duties</t>
  </si>
  <si>
    <t>Mutually exclusive duties (such as submission and approval, or development and release) shall not be assigned to the same agent</t>
  </si>
  <si>
    <t>V3.6.2</t>
  </si>
  <si>
    <t>For operations that require dual control under separation of duties (such as payments, production changes, and permission grants), the approver shall not be the initiator, nor an agent acting on the initiator's behalf</t>
  </si>
  <si>
    <t>V3.7.1</t>
  </si>
  <si>
    <t>V3.7 Persistent Operations</t>
  </si>
  <si>
    <t>When an agent creates or modifies scheduled tasks, trigger rules, webhooks, forwarding rules, or skills, such changes shall take effect only after user approval</t>
  </si>
  <si>
    <t>V3.7.2</t>
  </si>
  <si>
    <t>The management plane shall be able to centrally list all persistent objects created by an agent and indicate the source of their creation</t>
  </si>
  <si>
    <t>V3.8.1</t>
  </si>
  <si>
    <t>V3.8 Quantity, Rate, and Quota</t>
  </si>
  <si>
    <t>Rate, bulk, and export limits shall be set by user, agent, and operation type</t>
  </si>
  <si>
    <t>V3.8.2</t>
  </si>
  <si>
    <t>Requests exceeding limits shall be blocked and alerted</t>
  </si>
  <si>
    <t>V3.8.3</t>
  </si>
  <si>
    <t>Model invocation budgets shall be set by department, user, or agent. When a budget is exceeded, the invocations shall be paused or require approval.</t>
  </si>
  <si>
    <t>V3.8.4</t>
  </si>
  <si>
    <t>Each agent run shall have a maximum number of tool invocations, a maximum run duration, and a maximum model invocation cost, enforced by the platform. When a limit is reached, the run shall be aborted and the initiator or owner notified.</t>
  </si>
  <si>
    <t>V4.1.1</t>
  </si>
  <si>
    <t>V4 Credentials and Egress Enforcement</t>
  </si>
  <si>
    <t>V4.1 Credential Custody and Injection</t>
  </si>
  <si>
    <t>Tokens and keys required to access downstream systems shall be held by the platform. Only placeholder credentials shall appear in platform-hosted execution environments, in the context, and in the model, except for the cases specified in V5.2.2.</t>
  </si>
  <si>
    <t>V4.1.2</t>
  </si>
  <si>
    <t>Each managed credential shall be bound to permitted target domain names and paths, and the gateway shall inject the real credential only when the target matches</t>
  </si>
  <si>
    <t>V4.1.3</t>
  </si>
  <si>
    <t>The gateway shall not inject credentials into URLs or query parameters. Authentication for non-HTTP protocols shall be completed by the gateway or a platform-side proxy, and credentials shall not enter the execution environment.</t>
  </si>
  <si>
    <t>V4.1.4</t>
  </si>
  <si>
    <t>Substitution requests whose target does not match shall be rejected and alerted</t>
  </si>
  <si>
    <t>V4.1.5</t>
  </si>
  <si>
    <t>Credentials echoed in downstream responses shall be stripped before the response is returned to the execution environment</t>
  </si>
  <si>
    <t>V4.1.6</t>
  </si>
  <si>
    <t>The platform shall provide a managed authorization flow (such as OAuth), so that users do not need to hand personal credentials or API keys directly to the agent</t>
  </si>
  <si>
    <t>V4.1.7</t>
  </si>
  <si>
    <t>Credentials appearing in conversations and uploaded files shall be identified, and their writing into memory, output artifacts, or agent configuration shall be blocked</t>
  </si>
  <si>
    <t>V4.2.1</t>
  </si>
  <si>
    <t>V4.2 Unified Egress</t>
  </si>
  <si>
    <t>All of an agent's access outside the execution environment shall pass only through the egress gateway</t>
  </si>
  <si>
    <t>V4.2.2</t>
  </si>
  <si>
    <t>Execution environment</t>
  </si>
  <si>
    <t>Network egress from the execution environment shall be denied by default, and only traffic to the egress gateway shall be allowed</t>
  </si>
  <si>
    <t>V4.2.3</t>
  </si>
  <si>
    <t>Internal network services and databases shall reject direct connections from the execution environment's network segment that bypass the gateway</t>
  </si>
  <si>
    <t>V4.2.4</t>
  </si>
  <si>
    <t>Hard-coded credentials in the execution environment, agent configurations, and images shall be scanned periodically</t>
  </si>
  <si>
    <t>V4.2.5</t>
  </si>
  <si>
    <t>The platform shall maintain an inventory of registered downstream systems (addresses, owning systems, and data classification), against which the egress gateway distinguishes intra-enterprise access from outbound transfer</t>
  </si>
  <si>
    <t>V4.3.1</t>
  </si>
  <si>
    <t>V4.3 Downstream Identity Propagation</t>
  </si>
  <si>
    <t>When accessing third-party SaaS, user-level authorization shall be obtained, either by the user completing OAuth authorization personally or by obtaining a user-level token from the enterprise IdP via token exchange. Application credentials shared across users shall not be used.</t>
  </si>
  <si>
    <t>V4.3.2</t>
  </si>
  <si>
    <t>When a user revokes authorization, the platform shall immediately stop using the corresponding credential</t>
  </si>
  <si>
    <t>V4.3.3</t>
  </si>
  <si>
    <t>When a downstream system supports token exchange, a user-level short-lived token shall be obtained through the enterprise IdP per RFC 8693, or through ID-JAG based on RFC 8693 and RFC 7523</t>
  </si>
  <si>
    <t>V4.4.1</t>
  </si>
  <si>
    <t>V4.4 Legacy Systems with Static Credentials</t>
  </si>
  <si>
    <t>Shared secrets of legacy systems shall be held by the platform and shall not be distributed to the execution environment</t>
  </si>
  <si>
    <t>Platforms with downstream systems that support only shared static credentials</t>
  </si>
  <si>
    <t>V4.4.2</t>
  </si>
  <si>
    <t>The gateway shall make user-level authorization decisions at the interface and operation levels to compensate for the lack of user-level authorization in the downstream system</t>
  </si>
  <si>
    <t>V4.4.3</t>
  </si>
  <si>
    <t>The gateway shall attach a signed user identity to downstream requests so that downstream systems can verify it and progressively adopt user-level authorization</t>
  </si>
  <si>
    <t>V4.4.4</t>
  </si>
  <si>
    <t>Downstream systems for which the gateway makes user-level authorization decisions on their behalf shall be registered and included in periodic review</t>
  </si>
  <si>
    <t>V4.5.1</t>
  </si>
  <si>
    <t>V4.5 MCP Invocation</t>
  </si>
  <si>
    <t>Requests to remote MCP servers shall pass through the egress gateway and carry the user identity</t>
  </si>
  <si>
    <t>Platforms that support MCP</t>
  </si>
  <si>
    <t>V4.5.2</t>
  </si>
  <si>
    <t>MCP servers built or hosted by the platform shall not hold long-term credentials shared by all users</t>
  </si>
  <si>
    <t>V4.5.3</t>
  </si>
  <si>
    <t>Locally running MCP processes shall likewise obtain only placeholder credentials, and their outbound network access shall be constrained by the execution environment's network policy</t>
  </si>
  <si>
    <t>V4.5.4</t>
  </si>
  <si>
    <t>MCP servers that support the Enterprise-Managed Authorization extension shall be connected with authorization through the enterprise IdP</t>
  </si>
  <si>
    <t>V4.5.5</t>
  </si>
  <si>
    <t>MCP servers built or hosted by the platform shall accept only tokens issued for them (audience-restricted to the server), verifying the issuer and audience (for example using the RFC 8707 resource indicator), and shall not pass received tokens through to downstream APIs</t>
  </si>
  <si>
    <t>V4.5.6</t>
  </si>
  <si>
    <t>The platform shall retain a snapshot of the tool definitions of reviewed MCP servers. After any change in tool name, description, or parameter structure, the changed tools shall not be exposed to the model until they are reviewed again.</t>
  </si>
  <si>
    <t>V4.6.1</t>
  </si>
  <si>
    <t>V4.6 Token Lifecycle</t>
  </si>
  <si>
    <t>Downstream tokens injected or exchanged by the gateway shall have a short validity period</t>
  </si>
  <si>
    <t>V4.6.2</t>
  </si>
  <si>
    <t>For supported downstream systems, tokens shall be sender-constrained (DPoP or mTLS) to prevent replay after theft</t>
  </si>
  <si>
    <t>V4.6.3</t>
  </si>
  <si>
    <t>Tokens shall be restricted to an audience and shall be usable only with the downstream system specified at issuance</t>
  </si>
  <si>
    <t>V4.7.1</t>
  </si>
  <si>
    <t>V4.7 Credential Store Protection</t>
  </si>
  <si>
    <t>Managed credentials shall be stored encrypted, and no plaintext shall appear in databases or backups</t>
  </si>
  <si>
    <t>V4.7.2</t>
  </si>
  <si>
    <t>Platform administrators and operations personnel shall not be able to read or export plaintext credentials</t>
  </si>
  <si>
    <t>V4.7.3</t>
  </si>
  <si>
    <t>Credentials shall be retrievable at invocation time only by the egress gateway, and each retrieval shall be recorded in the audit log</t>
  </si>
  <si>
    <t>V4.7.4</t>
  </si>
  <si>
    <t>The master key shall be managed by a KMS or HSM controlled by the enterprise</t>
  </si>
  <si>
    <t>V4.7.5</t>
  </si>
  <si>
    <t>The platform shall support bulk rotation and revocation of credentials per user, per connection, or for all credentials</t>
  </si>
  <si>
    <t>V5.1.1</t>
  </si>
  <si>
    <t>V5 Execution Isolation</t>
  </si>
  <si>
    <t>V5.1 Execution Environment Isolation</t>
  </si>
  <si>
    <t>Each session shall use an independent execution environment. Files and processes shall not be shared between different users, or between different sessions of the same user.</t>
  </si>
  <si>
    <t>Platform-hosted execution environments; agents running on employee endpoints are handled under V5.4</t>
  </si>
  <si>
    <t>V5.1.2</t>
  </si>
  <si>
    <t>The execution environment shall run under an unprivileged identity and shall not be able to access the host or other instances</t>
  </si>
  <si>
    <t>V5.1.3</t>
  </si>
  <si>
    <t>After a session ends, the execution environment and its files and temporary credentials shall be destroyed</t>
  </si>
  <si>
    <t>V5.1.4</t>
  </si>
  <si>
    <t>Where multiple users or tenants share a host's execution environment, independent kernel or user-space kernel isolation shall be used, such as gVisor, Kata Containers, or Firecracker microVMs</t>
  </si>
  <si>
    <t>V5.2.1</t>
  </si>
  <si>
    <t>V5.2 Code and Command Execution</t>
  </si>
  <si>
    <t>Code and commands shall run only in an isolated execution environment, and not directly on the harness or on the platform host</t>
  </si>
  <si>
    <t>Platforms that support code or command execution</t>
  </si>
  <si>
    <t>V5.2.2</t>
  </si>
  <si>
    <t>Credentials that cannot be injected by the egress gateway (such as cloud API credentials used for client-side request signing) shall be issued as short-lived credentials (such as AWS STS) scoped to specific permissions and target resources per user and task. Long-lived keys shall not be placed in the execution environment.</t>
  </si>
  <si>
    <t>V5.2.3</t>
  </si>
  <si>
    <t>On employee endpoints or in execution environments that mount persistent data, commands that delete persistent data, escalate privileges, or modify network configuration shall require approval before execution</t>
  </si>
  <si>
    <t>V5.2.4</t>
  </si>
  <si>
    <t>Dependency packages shall be installed only from enterprise-approved mirror sources</t>
  </si>
  <si>
    <t>V5.3.1</t>
  </si>
  <si>
    <t>V5.3 Browser and Desktop Operations</t>
  </si>
  <si>
    <t>When the platform provides a browser environment, the agent shall use an independent browser profile and shall not reuse the user's personal logged-in session</t>
  </si>
  <si>
    <t>Platforms that support browser or desktop operations</t>
  </si>
  <si>
    <t>V5.3.2</t>
  </si>
  <si>
    <t>Before a form that produces an external effect (such as placing an order, making a payment, sending a message, publishing content, or changing account settings) is submitted, the action shall require approval</t>
  </si>
  <si>
    <t>V5.3.3</t>
  </si>
  <si>
    <t>Websites that the agent may access shall be authorized site by site, and unauthorized sites shall be blocked</t>
  </si>
  <si>
    <t>V5.3.4</t>
  </si>
  <si>
    <t>Desktop operations shall be limited to the scope of applications authorized by the user</t>
  </si>
  <si>
    <t>V5.3.5</t>
  </si>
  <si>
    <t>An agent running in a browser where the user is logged in (such as a browser extension) shall operate on a site allowlist, shall deny by default any site not on the list, and shall by default be prohibited from operating on identity authentication, payment, and administrative console sites</t>
  </si>
  <si>
    <t>V5.4.1</t>
  </si>
  <si>
    <t>V5.4 Endpoint Harness</t>
  </si>
  <si>
    <t>Endpoint execution shall by default be placed in a system-level sandbox, such as macOS Seatbelt or Linux bubblewrap</t>
  </si>
  <si>
    <t>Agents running on employee endpoints, such as coding agents and desktop assistants</t>
  </si>
  <si>
    <t>V5.4.2</t>
  </si>
  <si>
    <t>File access shall be authorized by directory. By default, reading directories containing keys or secrets (such as `~/.ssh` and `~/.aws`) and browser credential stores shall be denied.</t>
  </si>
  <si>
    <t>V5.4.3</t>
  </si>
  <si>
    <t>On managed endpoints, the enterprise shall be able to distribute endpoint policies uniformly through managed policy, and employees shall not be able to disable them locally. Endpoint agents on unmanaged endpoints shall not obtain credentials for accessing enterprise resources.</t>
  </si>
  <si>
    <t>V5.4.4</t>
  </si>
  <si>
    <t>Endpoint agents accessing enterprise resources shall pass through the egress gateway and shall not directly use enterprise credentials stored locally</t>
  </si>
  <si>
    <t>V5.5.1</t>
  </si>
  <si>
    <t>V5.5 Harness Configuration and Permission Modes</t>
  </si>
  <si>
    <t>The enterprise shall be able to distribute managed policies that cannot be overridden by local configuration</t>
  </si>
  <si>
    <t>V5.5.2</t>
  </si>
  <si>
    <t>Managed policies shall be able to prohibit or restrict modes such as automatic approval and skipping confirmation</t>
  </si>
  <si>
    <t>V5.5.3</t>
  </si>
  <si>
    <t>The lists of permitted and prohibited tools shall be configured centrally by the enterprise</t>
  </si>
  <si>
    <t>V5.5.4</t>
  </si>
  <si>
    <t>Rule files, MCP definitions, and hooks in the project directory (a code repository or a workspace opened in an IDE) shall be loaded only after the user confirms trust</t>
  </si>
  <si>
    <t>V5.5.5</t>
  </si>
  <si>
    <t>After the above configuration in the project directory changes, trust shall be reconfirmed before it is loaded</t>
  </si>
  <si>
    <t>V5.5.6</t>
  </si>
  <si>
    <t>The enterprise shall be able to prohibit loading of project-directory-level MCP servers and hooks</t>
  </si>
  <si>
    <t>V5.6.1</t>
  </si>
  <si>
    <t>V5.6 Skill, Plugin, and MCP Supply Chain</t>
  </si>
  <si>
    <t>Skills, plugins, and MCP servers shall be reviewed before they can be installed</t>
  </si>
  <si>
    <t>Platforms that support installing skills, plugins, or third-party MCP servers</t>
  </si>
  <si>
    <t>V5.6.2</t>
  </si>
  <si>
    <t>Administrators shall be able to maintain an allowlist of permitted installations and to withdraw items immediately</t>
  </si>
  <si>
    <t>V5.6.3</t>
  </si>
  <si>
    <t>Source and signatures shall be verified and versions shall be pinned. Updates shall require re-review.</t>
  </si>
  <si>
    <t>V5.6.4</t>
  </si>
  <si>
    <t>Each skill or plugin shall declare the permissions it requires, and invocations exceeding the declaration shall be rejected at execution</t>
  </si>
  <si>
    <t>V6.1.1</t>
  </si>
  <si>
    <t>V6 Context and Untrusted Input</t>
  </si>
  <si>
    <t>V6.1 Untrusted Content Marking</t>
  </si>
  <si>
    <t>The platform shall classify tool return values, retrieval results, web pages, emails, files, and the outputs of other agents as untrusted content, and use this classification as the basis for the tightening rules of V6.2</t>
  </si>
  <si>
    <t>V6.1.2</t>
  </si>
  <si>
    <t>Content entering the context shall be marked with its source so that policy checks can distinguish user instructions from untrusted content</t>
  </si>
  <si>
    <t>V6.1.3</t>
  </si>
  <si>
    <t>Platform policy and the system prompt shall be separated from untrusted content by message roles or delimiting structures, and shall not be concatenated within the same block of text</t>
  </si>
  <si>
    <t>V6.2.1</t>
  </si>
  <si>
    <t>V6.2 Downgrading After Exposure to Untrusted Content</t>
  </si>
  <si>
    <t>After a session is exposed to untrusted content, all outbound transfers shall be denied by default and permitted only after approval</t>
  </si>
  <si>
    <t>V6.2.2</t>
  </si>
  <si>
    <t>After a session is exposed to untrusted content, writes and deletes to systems outside the execution environment shall require approval, or be limited to the plan pre-approved under V3.4.6</t>
  </si>
  <si>
    <t>V6.2.3</t>
  </si>
  <si>
    <t>Red team tests shall be run periodically against agents, using web pages, emails, documents, and tool return values that embed injected instructions</t>
  </si>
  <si>
    <t>V6.2.4</t>
  </si>
  <si>
    <t>In high-risk scenarios, untrusted content shall first be processed by an isolated model without tool permissions, and only structured results shall be passed to the agent that has permissions. Examples include the Dual LLM pattern, or CaMeL, which adds separation of control flow and data flow on top of it.</t>
  </si>
  <si>
    <t>V6.3.1</t>
  </si>
  <si>
    <t>V6.3 System Prompt and Configuration</t>
  </si>
  <si>
    <t>System prompts, agent configurations, and skill files shall not contain credentials or keys</t>
  </si>
  <si>
    <t>V6.3.2</t>
  </si>
  <si>
    <t>The system prompt shall be assumed to be possibly leaked. It shall contain no personal information and no data that is not visible to every user of the agent.</t>
  </si>
  <si>
    <t>V6.3.3</t>
  </si>
  <si>
    <t>Agent configurations and skill files shall undergo credential scanning before release</t>
  </si>
  <si>
    <t>V6.4.1</t>
  </si>
  <si>
    <t>V6.4 Multi-Agent Cascading</t>
  </si>
  <si>
    <t>Messages between agents shall be forwarded by the platform with the sender's identity attached. Agents shall not communicate directly with each other.</t>
  </si>
  <si>
    <t>Platforms that support multi-agent orchestration</t>
  </si>
  <si>
    <t>V6.4.2</t>
  </si>
  <si>
    <t>Critical nodes shall validate the format and value range of upstream output, and results that do not conform shall not be passed further downstream</t>
  </si>
  <si>
    <t>V6.4.3</t>
  </si>
  <si>
    <t>When anomalous output or the error rate in a chain exceeds a threshold, the entire chain shall be circuit-broken and an alert raised</t>
  </si>
  <si>
    <t>V7.1.1</t>
  </si>
  <si>
    <t>V7 Output and Visibility</t>
  </si>
  <si>
    <t>V7.1 Multi-Party Channels</t>
  </si>
  <si>
    <t>In a multi-party channel, replies may use only data that all present members are authorized to access. Otherwise, V7.1.2 applies.</t>
  </si>
  <si>
    <t>Platforms that support multi-party channels such as group chats, channels, and comments on shared documents</t>
  </si>
  <si>
    <t>V7.1.2</t>
  </si>
  <si>
    <t>Results that exceed the permissions of some present members shall be sent only by direct message to the user who triggered the request, and only a notice shall be displayed in the channel</t>
  </si>
  <si>
    <t>V7.1.3</t>
  </si>
  <si>
    <t>When external members are present in a channel, the classification level of content that may be displayed shall be further tightened</t>
  </si>
  <si>
    <t>V7.1.4</t>
  </si>
  <si>
    <t>When determining displayable content, it shall be considered that members who join later may view historical replies</t>
  </si>
  <si>
    <t>V7.2.1</t>
  </si>
  <si>
    <t>V7.2 Isolation of Shared Agent Sessions</t>
  </si>
  <si>
    <t>Sessions of a shared agent shall be isolated by user</t>
  </si>
  <si>
    <t>Platforms where multiple people share the same agent</t>
  </si>
  <si>
    <t>V7.2.2</t>
  </si>
  <si>
    <t>Data layer</t>
  </si>
  <si>
    <t>Personal context and team-shared knowledge shall be stored separately, and retrieval shall make authorization decisions based on the current user</t>
  </si>
  <si>
    <t>V7.3.1</t>
  </si>
  <si>
    <t>V7.3 Session Handover</t>
  </si>
  <si>
    <t>Before a session is handed over, its existing context shall be checked against the recipient's permissions</t>
  </si>
  <si>
    <t>Platforms that support session handover or human takeover</t>
  </si>
  <si>
    <t>V7.3.2</t>
  </si>
  <si>
    <t>Content that exceeds the recipient's permissions shall be redacted or removed before the handover</t>
  </si>
  <si>
    <t>V7.4.1</t>
  </si>
  <si>
    <t>V7.4 Output Rendering</t>
  </si>
  <si>
    <t>In replies the platform sends to any channel, images and resources that point to domains outside the allowlist shall be removed before sending, or converted to links that do not load automatically</t>
  </si>
  <si>
    <t>V7.4.2</t>
  </si>
  <si>
    <t>HTML and Markdown in replies shall be sanitized before rendering, removing scripts and event attributes</t>
  </si>
  <si>
    <t>V7.4.3</t>
  </si>
  <si>
    <t>Links in replies shall display the real destination address</t>
  </si>
  <si>
    <t>V7.5.1</t>
  </si>
  <si>
    <t>V7.5 Output Data Leakage Prevention</t>
  </si>
  <si>
    <t>When credentials or keys appear in replies or outbound content, they shall be blocked</t>
  </si>
  <si>
    <t>V7.5.2</t>
  </si>
  <si>
    <t>Replies, file downloads, and outbound content shall undergo sensitive data detection</t>
  </si>
  <si>
    <t>V7.5.3</t>
  </si>
  <si>
    <t>When sensitive data such as personal information is detected, it shall be redacted according to policy, or the output shall require approval</t>
  </si>
  <si>
    <t>V7.5.4</t>
  </si>
  <si>
    <t>After a session has read non-public data, all outbound transfers shall be denied by default and permitted only after approval</t>
  </si>
  <si>
    <t>V7.6.1</t>
  </si>
  <si>
    <t>V7.6 Messages Sent on Behalf of a User</t>
  </si>
  <si>
    <t>Messages sent to recipients outside the enterprise shall be approved</t>
  </si>
  <si>
    <t>Platforms that send email, IM messages, or announcements in the user's name</t>
  </si>
  <si>
    <t>V7.6.2</t>
  </si>
  <si>
    <t>The default mode for sending on behalf of a user shall be to generate a draft, which is sent after the user confirms</t>
  </si>
  <si>
    <t>V7.6.3</t>
  </si>
  <si>
    <t>Messages sent by an agent on behalf of a user shall carry a recognizable sent-on-behalf-of identifier</t>
  </si>
  <si>
    <t>V8.1.1</t>
  </si>
  <si>
    <t>V8 Data, Memory, and Output Artifacts</t>
  </si>
  <si>
    <t>V8.1 Retrieval Authorization</t>
  </si>
  <si>
    <t>Retrieval results shall be filtered by the access controls of the source system. Access control lists may be synchronized to each text chunk, or verified back against the source at retrieval time.</t>
  </si>
  <si>
    <t>Platforms that support RAG or knowledge base retrieval</t>
  </si>
  <si>
    <t>V8.1.2</t>
  </si>
  <si>
    <t>Results shall be filtered by the current user at the retrieval stage, rather than deleted after the answer has been generated</t>
  </si>
  <si>
    <t>V8.1.3</t>
  </si>
  <si>
    <t>After permissions are revoked in the source system, the change shall be reflected in retrieval results within an agreed period, and synchronization latency shall be monitored</t>
  </si>
  <si>
    <t>V8.2.1</t>
  </si>
  <si>
    <t>V8.2 Database Queries</t>
  </si>
  <si>
    <t>When an agent queries a database, it shall connect under the user's identity, or the platform shall inject that user's row-level and column-level policies</t>
  </si>
  <si>
    <t>Platforms where agents query business databases directly</t>
  </si>
  <si>
    <t>V8.2.2</t>
  </si>
  <si>
    <t>Database connections used by agents shall be read-only by default</t>
  </si>
  <si>
    <t>V8.2.3</t>
  </si>
  <si>
    <t>The number of rows returned by a single query shall be capped</t>
  </si>
  <si>
    <t>V8.3.1</t>
  </si>
  <si>
    <t>V8.3 Memory Isolation</t>
  </si>
  <si>
    <t>Memory shall record the source user and permission labels</t>
  </si>
  <si>
    <t>Platforms that support long-term memory or knowledge accumulation</t>
  </si>
  <si>
    <t>V8.3.2</t>
  </si>
  <si>
    <t>When memory is retrieved, results shall be filtered by the current user, and one user's personal memory shall not appear in another user's session</t>
  </si>
  <si>
    <t>V8.3.3</t>
  </si>
  <si>
    <t>Personal content shall be reviewed before it is accumulated into team-shared knowledge</t>
  </si>
  <si>
    <t>V8.4.1</t>
  </si>
  <si>
    <t>V8.4 Memory and Knowledge Poisoning</t>
  </si>
  <si>
    <t>Content written into memory and knowledge bases shall be marked with its source and credibility</t>
  </si>
  <si>
    <t>V8.4.2</t>
  </si>
  <si>
    <t>Accumulations originating from untrusted content shall be reviewed manually before they can be retrieved</t>
  </si>
  <si>
    <t>V8.4.3</t>
  </si>
  <si>
    <t>Retrieved memory shall be provided to the model as data, not as system instructions</t>
  </si>
  <si>
    <t>V8.4.4</t>
  </si>
  <si>
    <t>The platform shall support tracing memory and knowledge entries back to their source and removing them in bulk</t>
  </si>
  <si>
    <t>V8.5.1</t>
  </si>
  <si>
    <t>V8.5 Output Artifacts</t>
  </si>
  <si>
    <t>Output artifacts shall inherit the highest data classification level among their sources and shall record their sources</t>
  </si>
  <si>
    <t>V8.5.2</t>
  </si>
  <si>
    <t>When an output artifact is shared, the recipient's permissions on the source data shall be checked</t>
  </si>
  <si>
    <t>V8.5.3</t>
  </si>
  <si>
    <t>Aggregation and statistics requests on sensitive dimensions shall require approval</t>
  </si>
  <si>
    <t>V8.6.1</t>
  </si>
  <si>
    <t>V8.6 Caching and Retention</t>
  </si>
  <si>
    <t>Cached retrieval results and answers shall carry permission labels and shall be invalidated when permissions change</t>
  </si>
  <si>
    <t>V8.6.2</t>
  </si>
  <si>
    <t>Historical sessions shall be displayed according to current permissions, and content whose permissions have been revoked shall no longer be displayed</t>
  </si>
  <si>
    <t>V8.6.3</t>
  </si>
  <si>
    <t>Retention periods shall be set separately for sessions, memory, and audit records</t>
  </si>
  <si>
    <t>V8.6.4</t>
  </si>
  <si>
    <t>After a user leaves, their managed credentials shall be deleted within an agreed time, and personal memory shall be deleted or transferred according to policy</t>
  </si>
  <si>
    <t>V8.7.1</t>
  </si>
  <si>
    <t>V8.7 Model Routing</t>
  </si>
  <si>
    <t>The models to which each category of data may be sent shall be configured according to data classification. Sensitive data shall be sent only to local or designated models.</t>
  </si>
  <si>
    <t>Platforms that connect to multiple models. Use of conversation data for evaluation and fine-tuning is model training data governance; see OWASP AISVS C1 and C3.</t>
  </si>
  <si>
    <t>V8.7.2</t>
  </si>
  <si>
    <t>Sensitive data destined for unauthorized models shall be blocked</t>
  </si>
  <si>
    <t>V9.1.1</t>
  </si>
  <si>
    <t>V9 Lifecycle and Governance</t>
  </si>
  <si>
    <t>V9.1 Agent Registration and Publication</t>
  </si>
  <si>
    <t>Creating, publishing, and decommissioning agents shall each be separately authorized</t>
  </si>
  <si>
    <t>V9.1.2</t>
  </si>
  <si>
    <t>Agents shall be reviewed before publication, and agents without a designated owner shall not be published</t>
  </si>
  <si>
    <t>V9.1.3</t>
  </si>
  <si>
    <t>The platform shall be able to list all published agents, along with their authorization scopes, connections, and owners</t>
  </si>
  <si>
    <t>V9.1.4</t>
  </si>
  <si>
    <t>Agent registration information shall include the models and versions used, the harness version, and the connected tools, and shall be updated synchronously when any of them change</t>
  </si>
  <si>
    <t>V9.2.1</t>
  </si>
  <si>
    <t>V9.2 Connector and Credential Binding</t>
  </si>
  <si>
    <t>Binding connectors to an agent shall require the corresponding permission, and shall not exceed the authorization scope registered for that agent</t>
  </si>
  <si>
    <t>V9.2.2</t>
  </si>
  <si>
    <t>After credentials are bound, the binder shall no longer be able to view or export their plaintext</t>
  </si>
  <si>
    <t>V9.2.3</t>
  </si>
  <si>
    <t>Binding and changes of connectors shall be recorded in the audit log</t>
  </si>
  <si>
    <t>V9.3.1</t>
  </si>
  <si>
    <t>V9.3 Configuration Changes</t>
  </si>
  <si>
    <t>Changes to an agent's system prompt, tools, authorization scope, and policies shall be approved</t>
  </si>
  <si>
    <t>V9.3.2</t>
  </si>
  <si>
    <t>Configuration changes that have not been approved shall not take effect</t>
  </si>
  <si>
    <t>V9.3.3</t>
  </si>
  <si>
    <t>Configurations shall retain version records and be rollbackable to any historical version</t>
  </si>
  <si>
    <t>V9.3.4</t>
  </si>
  <si>
    <t>Replacing the model or model version used by an agent shall be approved as a configuration change, and its behavior shall be reassessed</t>
  </si>
  <si>
    <t>V9.3.5</t>
  </si>
  <si>
    <t>Changes to global policies, such as risk classification, credential target binding, egress allowlists, and managed policies, shall be restricted to dedicated roles, and the platform shall record the operator, the time, and the content before and after each change</t>
  </si>
  <si>
    <t>V9.3.6</t>
  </si>
  <si>
    <t>Changes to the above global policies shall take effect only after approval by a second person</t>
  </si>
  <si>
    <t>V9.4.1</t>
  </si>
  <si>
    <t>V9.4 Lifecycle and Permission Review</t>
  </si>
  <si>
    <t>When an owner leaves or changes roles, the agents under their name shall enter a pending-handover state. If they are not handed over within the deadline, they shall be disabled automatically.</t>
  </si>
  <si>
    <t>V9.4.2</t>
  </si>
  <si>
    <t>Agent connections and permissions shall be reviewed periodically, and permissions not confirmed by their due date shall be withdrawn automatically</t>
  </si>
  <si>
    <t>V9.4.3</t>
  </si>
  <si>
    <t>Agents that have been unused for a long period shall be identified and decommissioned</t>
  </si>
  <si>
    <t>V9.5.1</t>
  </si>
  <si>
    <t>V9.5 Shadow Agent Discovery</t>
  </si>
  <si>
    <t>Agents that employees have connected on their own initiative without registration shall be discovered through the OAuth authorization records of the IdP</t>
  </si>
  <si>
    <t>V9.5.2</t>
  </si>
  <si>
    <t>Discovered unregistered agents shall be registered and brought under management, or blocked, within an agreed time</t>
  </si>
  <si>
    <t>V9.5.3</t>
  </si>
  <si>
    <t>Unregistered agents on endpoints and in browsers shall be discovered through combined endpoint and network detection</t>
  </si>
  <si>
    <t>V9.6.1</t>
  </si>
  <si>
    <t>V9.6 Workspace Isolation</t>
  </si>
  <si>
    <t>Data, knowledge bases, credentials, and agents shall be isolated by workspace</t>
  </si>
  <si>
    <t>V9.6.2</t>
  </si>
  <si>
    <t>Cross-workspace access shall require explicit authorization</t>
  </si>
  <si>
    <t>V9.6.3</t>
  </si>
  <si>
    <t>When delivered as SaaS, the data, credentials, and execution environments of different tenants shall be fully isolated</t>
  </si>
  <si>
    <t>V9.7.1</t>
  </si>
  <si>
    <t>V9.7 Provider Personnel Access</t>
  </si>
  <si>
    <t>The provider's access to customer environments and data shall be disabled by default. Enabling it shall require customer approval and be limited in duration.</t>
  </si>
  <si>
    <t>V9.7.2</t>
  </si>
  <si>
    <t>Each provider access shall be fully audited end to end, and the audit records shall be visible to the customer</t>
  </si>
  <si>
    <t>V9.7.3</t>
  </si>
  <si>
    <t>Telemetry data shall include only fields on a published inventory, and customers may disable it</t>
  </si>
  <si>
    <t>V9.7.4</t>
  </si>
  <si>
    <t>Login and authorization decisions for private deployments shall not depend on the provider's online services</t>
  </si>
  <si>
    <t>V10.1.1</t>
  </si>
  <si>
    <t>V10 Audit, Detection, and Response</t>
  </si>
  <si>
    <t>V10.1 Audit Records</t>
  </si>
  <si>
    <t>For each tool invocation, the platform shall record the initiating user, the executing agent, the delegation chain, the trigger source, the tool parameters, and the result status</t>
  </si>
  <si>
    <t>V10.1.2</t>
  </si>
  <si>
    <t>For approved operations, the platform shall record the approver, the approval content, and the approval time</t>
  </si>
  <si>
    <t>V10.1.3</t>
  </si>
  <si>
    <t>Audit shall record the source of untrusted content entering the context, so that it can later be determined whether an operation was caused by injection</t>
  </si>
  <si>
    <t>V10.1.4</t>
  </si>
  <si>
    <t>The platform shall be able to export audit records to the enterprise SIEM</t>
  </si>
  <si>
    <t>V10.1.5</t>
  </si>
  <si>
    <t>Audit logs shall be written to append-only storage isolated from platform operations, or tampering shall be detectable through means such as hash chains</t>
  </si>
  <si>
    <t>V10.1.6</t>
  </si>
  <si>
    <t>Audit records shall be cryptographically bound to the identity of the agent that executed them and to the user or approval that authorized them, to ensure non-repudiation</t>
  </si>
  <si>
    <t>V10.2.1</t>
  </si>
  <si>
    <t>V10.2 Audit Data Protection and Retrieval</t>
  </si>
  <si>
    <t>When administrators retrieve audit records or conversations, the act of retrieval itself shall be recorded in the audit log</t>
  </si>
  <si>
    <t>V10.2.2</t>
  </si>
  <si>
    <t>Sensitive fields in audit logs shall be stored redacted, or their visibility shall be controlled by role</t>
  </si>
  <si>
    <t>V10.2.3</t>
  </si>
  <si>
    <t>When administrators retrieve conversations between users and agents, the retrieval shall be approved</t>
  </si>
  <si>
    <t>V10.2.4</t>
  </si>
  <si>
    <t>Audit records shall not be deletable during the retention period</t>
  </si>
  <si>
    <t>V10.3.1</t>
  </si>
  <si>
    <t>V10.3 Behavioral Detection</t>
  </si>
  <si>
    <t>Events such as policy denials, approval rejections, and credential target mismatches shall generate real-time alerts</t>
  </si>
  <si>
    <t>V10.3.2</t>
  </si>
  <si>
    <t>The platform shall be able to retrieve and correlate alerts by agent, user, and delegation chain</t>
  </si>
  <si>
    <t>V10.3.3</t>
  </si>
  <si>
    <t>A behavioral baseline (invocation frequency, tool distribution, data volume) shall be established for each agent, and deviations shall trigger alerts</t>
  </si>
  <si>
    <t>V10.4.1</t>
  </si>
  <si>
    <t>V10.4 Permission Revocation and Emergency Deactivation</t>
  </si>
  <si>
    <t>After the IdP disables a user or downgrades their permissions, related invocations shall all be rejected within an agreed period (such as 5 minutes)</t>
  </si>
  <si>
    <t>V10.4.2</t>
  </si>
  <si>
    <t>Permission caches shall have an upper limit on their duration</t>
  </si>
  <si>
    <t>V10.4.3</t>
  </si>
  <si>
    <t>The platform shall be able to deactivate an individual agent in a single operation. Deactivation shall stop the gateway from injecting credentials for the agent, revoke its refresh tokens, abort its running tasks, and end its sessions</t>
  </si>
  <si>
    <t>V10.4.4</t>
  </si>
  <si>
    <t>The platform shall receive session revocation events from the IdP (such as CAEP) and shall take effect immediately upon receipt</t>
  </si>
  <si>
    <t>V10.4.5</t>
  </si>
  <si>
    <t>The platform shall be able to deactivate agents in bulk by owner, workspace, or connector</t>
  </si>
  <si>
    <t>V10.5.1</t>
  </si>
  <si>
    <t>V10.5 Emergency Access</t>
  </si>
  <si>
    <t>Break-glass accounts that can log in to the management plane even when the IdP is unavailable shall be pre-provisioned</t>
  </si>
  <si>
    <t>V10.5.2</t>
  </si>
  <si>
    <t>Credentials for break-glass accounts shall be split-custodied and under dual control, with an alert on each use and full audit</t>
  </si>
  <si>
    <t>V10.6.1</t>
  </si>
  <si>
    <t>V10.6 Incident Response and Recovery</t>
  </si>
  <si>
    <t>A response procedure shall be established for when an agent is injected or compromised, covering deactivation, credential rotation, and investigation of the impact scope</t>
  </si>
  <si>
    <t>V10.6.2</t>
  </si>
  <si>
    <t>The platform shall be able to reconstruct all of an agent's operations within a specified period, by session or by delegation chain, to determine the scope of impact</t>
  </si>
  <si>
    <t>V10.6.3</t>
  </si>
  <si>
    <t>Write operations shall be reversible, or a rollback snapshot shall be retained before execution</t>
  </si>
  <si>
    <t>Assessment Progress</t>
  </si>
  <si>
    <t>Figures are calculated live by formulas from “Assessment Sheet”. Items within a target level = all items at that level and below; conformance rate = met ÷ (items − not applicable); not assessed counts as unmet.</t>
  </si>
  <si>
    <t>Target Level</t>
  </si>
  <si>
    <t>Items</t>
  </si>
  <si>
    <t>Met</t>
  </si>
  <si>
    <t>Partially Met</t>
  </si>
  <si>
    <t>Unmet</t>
  </si>
  <si>
    <t>Not applicable</t>
  </si>
  <si>
    <t>Conformance Rate</t>
  </si>
  <si>
    <t>Result</t>
  </si>
  <si>
    <t>Reach L1</t>
  </si>
  <si>
    <t>Reach L2</t>
  </si>
  <si>
    <t>Reach L3</t>
  </si>
  <si>
    <t>The three tables below are calculated for this target level ▸</t>
  </si>
  <si>
    <t>(switch between L1 / L2 / L3 in the drop-down)</t>
  </si>
  <si>
    <t>按架构组件</t>
  </si>
  <si>
    <t>架构组件</t>
  </si>
  <si>
    <t>New in L2</t>
  </si>
  <si>
    <t>New in L3</t>
  </si>
  <si>
    <t>Total</t>
  </si>
  <si>
    <t>Items in target</t>
  </si>
  <si>
    <t>Achieved Level</t>
  </si>
  <si>
    <t>By chapter</t>
  </si>
  <si>
    <t>Component × Chapter (item counts across all levels)</t>
  </si>
  <si>
    <t>Component</t>
  </si>
  <si>
    <t>V1</t>
  </si>
  <si>
    <t>V2</t>
  </si>
  <si>
    <t>V3</t>
  </si>
  <si>
    <t>V4</t>
  </si>
  <si>
    <t>V5</t>
  </si>
  <si>
    <t>V6</t>
  </si>
  <si>
    <t>V7</t>
  </si>
  <si>
    <t>V8</t>
  </si>
  <si>
    <t>V9</t>
  </si>
  <si>
    <t>V10</t>
  </si>
  <si>
    <t>The darker the color, the more the chapter depends on this component for implementation.</t>
  </si>
  <si>
    <t>Gap List (target level L2)</t>
  </si>
  <si>
    <t>Generated at export from the requirements within the target level whose status is neither “Met” nor “Not applicable”, sorted by level and ID. This sheet does not update automatically when you change statuses in the assessment sheet; export again to refresh it.</t>
  </si>
  <si>
    <t>Architecture View</t>
  </si>
  <si>
    <t>Corresponds to Chapter 4 of the baseline. The enforcement component is the component primarily responsible for implementing or enforcing a requirement; when several components work together, the main one is listed.</t>
  </si>
  <si>
    <t>Responsibilities</t>
  </si>
  <si>
    <t>Trust Assumption</t>
  </si>
  <si>
    <t>Enterprise IdP, directory, and SCIM; issues user, agent, and workload identities</t>
  </si>
  <si>
    <t>Trusted</t>
  </si>
  <si>
    <t>Web, IM, email, IDE, API, and other entry points; responsible for identity mapping and the visibility scope of output</t>
  </si>
  <si>
    <t>Trusted; content arriving through the channel is untrusted</t>
  </si>
  <si>
    <t>Agent loop, context management, tool layer, security controls, orchestration, extension interfaces</t>
  </si>
  <si>
    <t>Trusted when platform-hosted; untrusted when running on employee endpoints, per V5.4</t>
  </si>
  <si>
    <t>Computes effective permissions, determines risk levels, and decides whether approval is required</t>
  </si>
  <si>
    <t>Unified egress; injects credentials, validates targets, rate-limits, and revokes; the credential store belongs here</t>
  </si>
  <si>
    <t>SaaS, internal APIs, MCP servers, and databases being accessed</t>
  </si>
  <si>
    <t>Makes its own authorization decisions; returned content is untrusted</t>
  </si>
  <si>
    <t>Knowledge bases, RAG, memory, output artifacts</t>
  </si>
  <si>
    <t>Trusted; stored content may be poisoned and is handled as untrusted content</t>
  </si>
  <si>
    <t>Executes code, commands, files, and browser operations</t>
  </si>
  <si>
    <t>Untrusted; may be compromised</t>
  </si>
  <si>
    <t>Agent registration, connectors, managed policies, lifecycle</t>
  </si>
  <si>
    <t>Recording, retrieval, export, and retention, as well as detection and response</t>
  </si>
  <si>
    <t>The model enforces no controls: its output is only a request, and the related requirements fall on the harness.</t>
  </si>
  <si>
    <t>Checkpoints for a Single Tool Invocation</t>
  </si>
  <si>
    <t>Step</t>
  </si>
  <si>
    <t>Checkpoint</t>
  </si>
  <si>
    <t>What Happens</t>
  </si>
  <si>
    <t>Responsible Component</t>
  </si>
  <si>
    <t>Related Requirements</t>
  </si>
  <si>
    <t>Entry authentication</t>
  </si>
  <si>
    <t>Map channel accounts to enterprise identities</t>
  </si>
  <si>
    <t>Interaction channel, identity layer</t>
  </si>
  <si>
    <t>V1.1、V1.2</t>
  </si>
  <si>
    <t>Establish session</t>
  </si>
  <si>
    <t>Issue workload identity; determine user and agent</t>
  </si>
  <si>
    <t>Harness, identity layer</t>
  </si>
  <si>
    <t>V1.4</t>
  </si>
  <si>
    <t>Assemble context</t>
  </si>
  <si>
    <t>Filter tool list, memory, and retrieval results by effective permissions</t>
  </si>
  <si>
    <t>Harness, data layer</t>
  </si>
  <si>
    <t>V3.3、V8.1、V8.3</t>
  </si>
  <si>
    <t>Pre-invocation validation</t>
  </si>
  <si>
    <t>Policy check and risk classification before execution</t>
  </si>
  <si>
    <t>Harness, policy decision point</t>
  </si>
  <si>
    <t>V2.2、V3.1、V3.2</t>
  </si>
  <si>
    <t>Human confirmation</t>
  </si>
  <si>
    <t>Generate approval from actual parameters; step-up authentication when necessary</t>
  </si>
  <si>
    <t>V3.4、V3.5</t>
  </si>
  <si>
    <t>Egress execution</t>
  </si>
  <si>
    <t>Inject credentials through the gateway, validate target, rate-limit</t>
  </si>
  <si>
    <t>V4.1、V4.2、V3.8</t>
  </si>
  <si>
    <t>Downstream authorization decision</t>
  </si>
  <si>
    <t>The downstream system makes an authorization decision based on the user identity passed when accessing on behalf of the user</t>
  </si>
  <si>
    <t>V2.1、V4.3、V4.4</t>
  </si>
  <si>
    <t>Handle return</t>
  </si>
  <si>
    <t>Treat returned content as untrusted and mark its source</t>
  </si>
  <si>
    <t>V6.1、V6.2</t>
  </si>
  <si>
    <t>Output check</t>
  </si>
  <si>
    <t>Check recipient, sensitive data, and rendering risk</t>
  </si>
  <si>
    <t>Interaction channel, egress gateway</t>
  </si>
  <si>
    <t>V7.1、V7.4、V7.5</t>
  </si>
  <si>
    <t>Full-process logging</t>
  </si>
  <si>
    <t>Each step is written to audit and traceable to the person, the agent, and the input source</t>
  </si>
  <si>
    <t>V10.1</t>
  </si>
  <si>
    <t>Enterprise Agent Identity and Authorization Security Baseline Assessment Sheet</t>
  </si>
  <si>
    <t>Source Document</t>
  </si>
  <si>
    <t>Enterprise Agent Identity and Authorization Security Baseline v1.0 (2026-10-07). The document contains the full context of the requirements, terminology, architecture diagrams, threat model, and mapping appendices.</t>
  </si>
  <si>
    <t>Document Link</t>
  </si>
  <si>
    <t>https://github.com/teloa-ai/agent-baseline-assessor/blob/main/01-standard/en/baseline-v1.0.md</t>
  </si>
  <si>
    <t>Contents</t>
  </si>
  <si>
    <t>240 requirements across 62 sections: 90 at L1, 137 more added at L2, and a further 13 added at L3.</t>
  </si>
  <si>
    <t>Assessment Information</t>
  </si>
  <si>
    <t>Assessment Subject</t>
  </si>
  <si>
    <t>Assessment Scope</t>
  </si>
  <si>
    <t>Assessor</t>
  </si>
  <si>
    <t>Assessment Date</t>
  </si>
  <si>
    <t>How to Fill In</t>
  </si>
  <si>
    <t>Fill in only the yellow columns</t>
  </si>
  <si>
    <t>The assessor fills in the four columns Status, Evidence and Notes, Owner, and Planned Completion. The other columns match the baseline and should not be changed here.</t>
  </si>
  <si>
    <t>Select from the drop-down: Not assessed, Met, Partially Met, Unmet, Not applicable. When an entire section does not apply because its applicability condition is not met, select “Not applicable” for every requirement in that section.</t>
  </si>
  <si>
    <t>Level</t>
  </si>
  <si>
    <t>L1 Baseline, L2 Standard, L3 Enhanced; a higher level includes all requirements of the lower levels. Reaching a level = all applicable requirements at that level and below are met.</t>
  </si>
  <si>
    <t>Back to the Web App</t>
  </si>
  <si>
    <t>This workbook can be imported on the “Data” page of the self-assessment web app; status, evidence, owner, and planned completion are filled back in by ID.</t>
  </si>
  <si>
    <t>Two Perspectives</t>
  </si>
  <si>
    <t>Answers “what is required”. V1 through V7 follow the order in which a single agent action occurs, and V8 through V10 are organized by data, agents, and audit that persist across sessions.</t>
  </si>
  <si>
    <t>Answers “where is it implemented”, in the same order as the component table in section 4.2 of the baseline. Filter by component to assign items to the matching teams. See the “Architecture View” sheet for component definitions and checkpoints.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</si>
</sst>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0"/>
      <name val="Arial"/>
    </font>
    <font>
      <color rgb="FF000000"/>
      <sz val="10"/>
      <name val="Arial"/>
    </font>
    <font>
      <b/>
      <color rgb="FF000000"/>
      <sz val="14"/>
      <name val="Arial"/>
    </font>
    <font>
      <i/>
      <color rgb="FF666666"/>
      <sz val="9"/>
      <name val="Arial"/>
    </font>
    <font>
      <b/>
      <color rgb="FF000000"/>
      <sz val="10"/>
      <name val="Arial"/>
    </font>
    <font>
      <b/>
      <color rgb="FF000000"/>
      <sz val="12"/>
      <name val="Arial"/>
    </font>
    <font>
      <u/>
      <color rgb="FF0563C1"/>
      <sz val="10"/>
      <name val="Arial"/>
    </font>
  </fonts>
  <fills count="7">
    <fill>
      <patternFill patternType="none"/>
    </fill>
    <fill>
      <patternFill patternType="gray125"/>
    </fill>
    <fill>
      <patternFill patternType="solid">
        <fgColor rgb="FF2F3B33"/>
      </patternFill>
    </fill>
    <fill>
      <patternFill patternType="solid">
        <fgColor rgb="FF8A6D1F"/>
      </patternFill>
    </fill>
    <fill>
      <patternFill patternType="solid">
        <fgColor rgb="FFFFF8DC"/>
      </patternFill>
    </fill>
    <fill>
      <patternFill patternType="solid">
        <fgColor rgb="FFFFE699"/>
      </patternFill>
    </fill>
    <fill>
      <patternFill patternType="solid">
        <fgColor rgb="FF4A5D5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3" fillId="0" borderId="0" xfId="0" applyFont="1"/>
    <xf numFmtId="0" fontId="4" fillId="0" borderId="0" xfId="0" applyFont="1"/>
    <xf numFmtId="0" fontId="2" fillId="0" borderId="1" xfId="0" applyFont="1" applyBorder="1"/>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0" fontId="5" fillId="0" borderId="0" xfId="0" applyFont="1" applyAlignment="1">
      <alignment horizontal="right" vertical="center"/>
    </xf>
    <xf numFmtId="0" fontId="5" fillId="5" borderId="1" xfId="0" applyFont="1" applyFill="1" applyBorder="1" applyAlignment="1">
      <alignment horizontal="center" vertical="center"/>
    </xf>
    <xf numFmtId="0" fontId="6" fillId="0" borderId="0" xfId="0" applyFont="1"/>
    <xf numFmtId="0" fontId="1" fillId="6"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wrapText="1"/>
    </xf>
  </cellXfs>
  <cellStyles count="1">
    <cellStyle name="Normal" xfId="0" builtinId="0"/>
  </cellStyles>
  <dxfs count="10">
    <dxf>
      <fill>
        <patternFill patternType="solid">
          <bgColor rgb="FFF4CCCC"/>
        </patternFill>
      </fill>
    </dxf>
    <dxf>
      <fill>
        <patternFill patternType="solid">
          <bgColor rgb="FFFCE5CD"/>
        </patternFill>
      </fill>
    </dxf>
    <dxf>
      <fill>
        <patternFill patternType="solid">
          <bgColor rgb="FFE7E6E6"/>
        </patternFill>
      </fill>
    </dxf>
    <dxf>
      <fill>
        <patternFill patternType="solid">
          <bgColor rgb="FFD9EAD3"/>
        </patternFill>
      </fill>
    </dxf>
    <dxf>
      <fill>
        <patternFill patternType="solid">
          <bgColor rgb="FFFFF2CC"/>
        </patternFill>
      </fill>
    </dxf>
    <dxf>
      <fill>
        <patternFill patternType="solid">
          <bgColor rgb="FFF4CCCC"/>
        </patternFill>
      </fill>
    </dxf>
    <dxf>
      <fill>
        <patternFill patternType="solid">
          <bgColor rgb="FFEEEEEE"/>
        </patternFill>
      </fill>
    </dxf>
    <dxf>
      <fill>
        <patternFill patternType="solid">
          <bgColor rgb="FF9EC5F4"/>
        </patternFill>
      </fill>
    </dxf>
    <dxf>
      <fill>
        <patternFill patternType="solid">
          <bgColor rgb="FFCDE2FB"/>
        </patternFill>
      </fill>
    </dxf>
    <dxf>
      <font>
        <color rgb="FFBBBBB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teloa-ai/agent-baseline-assessor/blob/main/01-standard/en/baseline-v1.0.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1"/>
  <sheetViews>
    <sheetView workbookViewId="0">
      <pane xSplit="1" ySplit="1" topLeftCell="B2" activePane="bottomRight" state="frozen"/>
      <selection pane="bottomRight" activeCell="K2" sqref="K2"/>
    </sheetView>
  </sheetViews>
  <sheetFormatPr defaultRowHeight="15" outlineLevelRow="0" outlineLevelCol="0" x14ac:dyDescent="55"/>
  <cols>
    <col min="1" max="1" width="10" customWidth="1"/>
    <col min="2" max="2" width="18" customWidth="1"/>
    <col min="3" max="3" width="22" customWidth="1"/>
    <col min="4" max="4" width="11" customWidth="1"/>
    <col min="5" max="5" width="56" customWidth="1"/>
    <col min="6" max="6" width="8" customWidth="1"/>
    <col min="7" max="9" width="5" customWidth="1"/>
    <col min="10" max="10" width="26" customWidth="1"/>
    <col min="12" max="12" width="30" customWidth="1"/>
    <col min="14" max="14" width="11" customWidth="1"/>
    <col min="15" max="15" width="6" hidden="1" customWidth="1"/>
  </cols>
  <sheetData>
    <row r="1" ht="24" customHeight="1" spans="1:15" x14ac:dyDescent="0.25">
      <c r="A1" s="1" t="s">
        <v>0</v>
      </c>
      <c r="B1" s="1" t="s">
        <v>1</v>
      </c>
      <c r="C1" s="1" t="s">
        <v>2</v>
      </c>
      <c r="D1" s="1" t="s">
        <v>3</v>
      </c>
      <c r="E1" s="1" t="s">
        <v>4</v>
      </c>
      <c r="F1" s="1" t="s">
        <v>5</v>
      </c>
      <c r="G1" s="1" t="s">
        <v>6</v>
      </c>
      <c r="H1" s="1" t="s">
        <v>7</v>
      </c>
      <c r="I1" s="1" t="s">
        <v>8</v>
      </c>
      <c r="J1" s="1" t="s">
        <v>9</v>
      </c>
      <c r="K1" s="2" t="s">
        <v>10</v>
      </c>
      <c r="L1" s="2" t="s">
        <v>11</v>
      </c>
      <c r="M1" s="2" t="s">
        <v>12</v>
      </c>
      <c r="N1" s="2" t="s">
        <v>13</v>
      </c>
      <c r="O1" s="1" t="s">
        <v>14</v>
      </c>
    </row>
    <row r="2" ht="62" customHeight="1" spans="1:15" x14ac:dyDescent="0.25">
      <c r="A2" s="3" t="s">
        <v>15</v>
      </c>
      <c r="B2" s="4" t="s">
        <v>16</v>
      </c>
      <c r="C2" s="4" t="s">
        <v>17</v>
      </c>
      <c r="D2" s="3" t="s">
        <v>18</v>
      </c>
      <c r="E2" s="4" t="s">
        <v>19</v>
      </c>
      <c r="F2" s="3" t="s">
        <v>6</v>
      </c>
      <c r="G2" s="3" t="s">
        <v>20</v>
      </c>
      <c r="H2" s="3" t="s">
        <v>20</v>
      </c>
      <c r="I2" s="3" t="s">
        <v>20</v>
      </c>
      <c r="J2" s="4" t="s">
        <v>21</v>
      </c>
      <c r="K2" s="5" t="s">
        <v>22</v>
      </c>
      <c r="L2" s="6" t="s">
        <v>23</v>
      </c>
      <c r="M2" s="6" t="s">
        <v>23</v>
      </c>
      <c r="N2" s="6" t="s">
        <v>23</v>
      </c>
      <c r="O2" s="3">
        <f>VALUE(RIGHT(F2,1))</f>
        <v>1</v>
      </c>
    </row>
    <row r="3" ht="48" customHeight="1" spans="1:15" x14ac:dyDescent="0.25">
      <c r="A3" s="3" t="s">
        <v>24</v>
      </c>
      <c r="B3" s="4" t="s">
        <v>16</v>
      </c>
      <c r="C3" s="4" t="s">
        <v>17</v>
      </c>
      <c r="D3" s="3" t="s">
        <v>18</v>
      </c>
      <c r="E3" s="4" t="s">
        <v>25</v>
      </c>
      <c r="F3" s="3" t="s">
        <v>7</v>
      </c>
      <c r="G3" s="3" t="s">
        <v>23</v>
      </c>
      <c r="H3" s="3" t="s">
        <v>20</v>
      </c>
      <c r="I3" s="3" t="s">
        <v>20</v>
      </c>
      <c r="J3" s="4" t="s">
        <v>21</v>
      </c>
      <c r="K3" s="5" t="s">
        <v>22</v>
      </c>
      <c r="L3" s="6" t="s">
        <v>23</v>
      </c>
      <c r="M3" s="6" t="s">
        <v>23</v>
      </c>
      <c r="N3" s="6" t="s">
        <v>23</v>
      </c>
      <c r="O3" s="3">
        <f>VALUE(RIGHT(F3,1))</f>
        <v>2</v>
      </c>
    </row>
    <row r="4" ht="48" customHeight="1" spans="1:15" x14ac:dyDescent="0.25">
      <c r="A4" s="3" t="s">
        <v>26</v>
      </c>
      <c r="B4" s="4" t="s">
        <v>16</v>
      </c>
      <c r="C4" s="4" t="s">
        <v>17</v>
      </c>
      <c r="D4" s="3" t="s">
        <v>18</v>
      </c>
      <c r="E4" s="4" t="s">
        <v>27</v>
      </c>
      <c r="F4" s="3" t="s">
        <v>7</v>
      </c>
      <c r="G4" s="3" t="s">
        <v>23</v>
      </c>
      <c r="H4" s="3" t="s">
        <v>20</v>
      </c>
      <c r="I4" s="3" t="s">
        <v>20</v>
      </c>
      <c r="J4" s="4" t="s">
        <v>21</v>
      </c>
      <c r="K4" s="5" t="s">
        <v>22</v>
      </c>
      <c r="L4" s="6" t="s">
        <v>23</v>
      </c>
      <c r="M4" s="6" t="s">
        <v>23</v>
      </c>
      <c r="N4" s="6" t="s">
        <v>23</v>
      </c>
      <c r="O4" s="3">
        <f>VALUE(RIGHT(F4,1))</f>
        <v>2</v>
      </c>
    </row>
    <row r="5" ht="90" customHeight="1" spans="1:15" x14ac:dyDescent="0.25">
      <c r="A5" s="3" t="s">
        <v>28</v>
      </c>
      <c r="B5" s="4" t="s">
        <v>16</v>
      </c>
      <c r="C5" s="4" t="s">
        <v>17</v>
      </c>
      <c r="D5" s="3" t="s">
        <v>18</v>
      </c>
      <c r="E5" s="4" t="s">
        <v>29</v>
      </c>
      <c r="F5" s="3" t="s">
        <v>6</v>
      </c>
      <c r="G5" s="3" t="s">
        <v>20</v>
      </c>
      <c r="H5" s="3" t="s">
        <v>20</v>
      </c>
      <c r="I5" s="3" t="s">
        <v>20</v>
      </c>
      <c r="J5" s="4" t="s">
        <v>21</v>
      </c>
      <c r="K5" s="5" t="s">
        <v>22</v>
      </c>
      <c r="L5" s="6" t="s">
        <v>23</v>
      </c>
      <c r="M5" s="6" t="s">
        <v>23</v>
      </c>
      <c r="N5" s="6" t="s">
        <v>23</v>
      </c>
      <c r="O5" s="3">
        <f>VALUE(RIGHT(F5,1))</f>
        <v>1</v>
      </c>
    </row>
    <row r="6" ht="62" customHeight="1" spans="1:15" x14ac:dyDescent="0.25">
      <c r="A6" s="3" t="s">
        <v>30</v>
      </c>
      <c r="B6" s="4" t="s">
        <v>16</v>
      </c>
      <c r="C6" s="4" t="s">
        <v>31</v>
      </c>
      <c r="D6" s="3" t="s">
        <v>32</v>
      </c>
      <c r="E6" s="4" t="s">
        <v>33</v>
      </c>
      <c r="F6" s="3" t="s">
        <v>6</v>
      </c>
      <c r="G6" s="3" t="s">
        <v>20</v>
      </c>
      <c r="H6" s="3" t="s">
        <v>20</v>
      </c>
      <c r="I6" s="3" t="s">
        <v>20</v>
      </c>
      <c r="J6" s="4" t="s">
        <v>34</v>
      </c>
      <c r="K6" s="5" t="s">
        <v>22</v>
      </c>
      <c r="L6" s="6" t="s">
        <v>23</v>
      </c>
      <c r="M6" s="6" t="s">
        <v>23</v>
      </c>
      <c r="N6" s="6" t="s">
        <v>23</v>
      </c>
      <c r="O6" s="3">
        <f>VALUE(RIGHT(F6,1))</f>
        <v>1</v>
      </c>
    </row>
    <row r="7" ht="62" customHeight="1" spans="1:15" x14ac:dyDescent="0.25">
      <c r="A7" s="3" t="s">
        <v>35</v>
      </c>
      <c r="B7" s="4" t="s">
        <v>16</v>
      </c>
      <c r="C7" s="4" t="s">
        <v>31</v>
      </c>
      <c r="D7" s="3" t="s">
        <v>32</v>
      </c>
      <c r="E7" s="4" t="s">
        <v>36</v>
      </c>
      <c r="F7" s="3" t="s">
        <v>6</v>
      </c>
      <c r="G7" s="3" t="s">
        <v>20</v>
      </c>
      <c r="H7" s="3" t="s">
        <v>20</v>
      </c>
      <c r="I7" s="3" t="s">
        <v>20</v>
      </c>
      <c r="J7" s="4" t="s">
        <v>34</v>
      </c>
      <c r="K7" s="5" t="s">
        <v>22</v>
      </c>
      <c r="L7" s="6" t="s">
        <v>23</v>
      </c>
      <c r="M7" s="6" t="s">
        <v>23</v>
      </c>
      <c r="N7" s="6" t="s">
        <v>23</v>
      </c>
      <c r="O7" s="3">
        <f>VALUE(RIGHT(F7,1))</f>
        <v>1</v>
      </c>
    </row>
    <row r="8" ht="62" customHeight="1" spans="1:15" x14ac:dyDescent="0.25">
      <c r="A8" s="3" t="s">
        <v>37</v>
      </c>
      <c r="B8" s="4" t="s">
        <v>16</v>
      </c>
      <c r="C8" s="4" t="s">
        <v>31</v>
      </c>
      <c r="D8" s="3" t="s">
        <v>32</v>
      </c>
      <c r="E8" s="4" t="s">
        <v>38</v>
      </c>
      <c r="F8" s="3" t="s">
        <v>7</v>
      </c>
      <c r="G8" s="3" t="s">
        <v>23</v>
      </c>
      <c r="H8" s="3" t="s">
        <v>20</v>
      </c>
      <c r="I8" s="3" t="s">
        <v>20</v>
      </c>
      <c r="J8" s="4" t="s">
        <v>34</v>
      </c>
      <c r="K8" s="5" t="s">
        <v>22</v>
      </c>
      <c r="L8" s="6" t="s">
        <v>23</v>
      </c>
      <c r="M8" s="6" t="s">
        <v>23</v>
      </c>
      <c r="N8" s="6" t="s">
        <v>23</v>
      </c>
      <c r="O8" s="3">
        <f>VALUE(RIGHT(F8,1))</f>
        <v>2</v>
      </c>
    </row>
    <row r="9" ht="62" customHeight="1" spans="1:15" x14ac:dyDescent="0.25">
      <c r="A9" s="3" t="s">
        <v>39</v>
      </c>
      <c r="B9" s="4" t="s">
        <v>16</v>
      </c>
      <c r="C9" s="4" t="s">
        <v>31</v>
      </c>
      <c r="D9" s="3" t="s">
        <v>32</v>
      </c>
      <c r="E9" s="4" t="s">
        <v>40</v>
      </c>
      <c r="F9" s="3" t="s">
        <v>7</v>
      </c>
      <c r="G9" s="3" t="s">
        <v>23</v>
      </c>
      <c r="H9" s="3" t="s">
        <v>20</v>
      </c>
      <c r="I9" s="3" t="s">
        <v>20</v>
      </c>
      <c r="J9" s="4" t="s">
        <v>34</v>
      </c>
      <c r="K9" s="5" t="s">
        <v>22</v>
      </c>
      <c r="L9" s="6" t="s">
        <v>23</v>
      </c>
      <c r="M9" s="6" t="s">
        <v>23</v>
      </c>
      <c r="N9" s="6" t="s">
        <v>23</v>
      </c>
      <c r="O9" s="3">
        <f>VALUE(RIGHT(F9,1))</f>
        <v>2</v>
      </c>
    </row>
    <row r="10" ht="62" customHeight="1" spans="1:15" x14ac:dyDescent="0.25">
      <c r="A10" s="3" t="s">
        <v>41</v>
      </c>
      <c r="B10" s="4" t="s">
        <v>16</v>
      </c>
      <c r="C10" s="4" t="s">
        <v>31</v>
      </c>
      <c r="D10" s="3" t="s">
        <v>32</v>
      </c>
      <c r="E10" s="4" t="s">
        <v>42</v>
      </c>
      <c r="F10" s="3" t="s">
        <v>7</v>
      </c>
      <c r="G10" s="3" t="s">
        <v>23</v>
      </c>
      <c r="H10" s="3" t="s">
        <v>20</v>
      </c>
      <c r="I10" s="3" t="s">
        <v>20</v>
      </c>
      <c r="J10" s="4" t="s">
        <v>34</v>
      </c>
      <c r="K10" s="5" t="s">
        <v>22</v>
      </c>
      <c r="L10" s="6" t="s">
        <v>23</v>
      </c>
      <c r="M10" s="6" t="s">
        <v>23</v>
      </c>
      <c r="N10" s="6" t="s">
        <v>23</v>
      </c>
      <c r="O10" s="3">
        <f>VALUE(RIGHT(F10,1))</f>
        <v>2</v>
      </c>
    </row>
    <row r="11" ht="76" customHeight="1" spans="1:15" x14ac:dyDescent="0.25">
      <c r="A11" s="3" t="s">
        <v>43</v>
      </c>
      <c r="B11" s="4" t="s">
        <v>16</v>
      </c>
      <c r="C11" s="4" t="s">
        <v>31</v>
      </c>
      <c r="D11" s="3" t="s">
        <v>32</v>
      </c>
      <c r="E11" s="4" t="s">
        <v>44</v>
      </c>
      <c r="F11" s="3" t="s">
        <v>6</v>
      </c>
      <c r="G11" s="3" t="s">
        <v>20</v>
      </c>
      <c r="H11" s="3" t="s">
        <v>20</v>
      </c>
      <c r="I11" s="3" t="s">
        <v>20</v>
      </c>
      <c r="J11" s="4" t="s">
        <v>34</v>
      </c>
      <c r="K11" s="5" t="s">
        <v>22</v>
      </c>
      <c r="L11" s="6" t="s">
        <v>23</v>
      </c>
      <c r="M11" s="6" t="s">
        <v>23</v>
      </c>
      <c r="N11" s="6" t="s">
        <v>23</v>
      </c>
      <c r="O11" s="3">
        <f>VALUE(RIGHT(F11,1))</f>
        <v>1</v>
      </c>
    </row>
    <row r="12" ht="48" customHeight="1" spans="1:15" x14ac:dyDescent="0.25">
      <c r="A12" s="3" t="s">
        <v>45</v>
      </c>
      <c r="B12" s="4" t="s">
        <v>16</v>
      </c>
      <c r="C12" s="4" t="s">
        <v>46</v>
      </c>
      <c r="D12" s="3" t="s">
        <v>18</v>
      </c>
      <c r="E12" s="4" t="s">
        <v>47</v>
      </c>
      <c r="F12" s="3" t="s">
        <v>6</v>
      </c>
      <c r="G12" s="3" t="s">
        <v>20</v>
      </c>
      <c r="H12" s="3" t="s">
        <v>20</v>
      </c>
      <c r="I12" s="3" t="s">
        <v>20</v>
      </c>
      <c r="J12" s="4" t="s">
        <v>21</v>
      </c>
      <c r="K12" s="5" t="s">
        <v>22</v>
      </c>
      <c r="L12" s="6" t="s">
        <v>23</v>
      </c>
      <c r="M12" s="6" t="s">
        <v>23</v>
      </c>
      <c r="N12" s="6" t="s">
        <v>23</v>
      </c>
      <c r="O12" s="3">
        <f>VALUE(RIGHT(F12,1))</f>
        <v>1</v>
      </c>
    </row>
    <row r="13" ht="48" customHeight="1" spans="1:15" x14ac:dyDescent="0.25">
      <c r="A13" s="3" t="s">
        <v>48</v>
      </c>
      <c r="B13" s="4" t="s">
        <v>16</v>
      </c>
      <c r="C13" s="4" t="s">
        <v>46</v>
      </c>
      <c r="D13" s="3" t="s">
        <v>18</v>
      </c>
      <c r="E13" s="4" t="s">
        <v>49</v>
      </c>
      <c r="F13" s="3" t="s">
        <v>6</v>
      </c>
      <c r="G13" s="3" t="s">
        <v>20</v>
      </c>
      <c r="H13" s="3" t="s">
        <v>20</v>
      </c>
      <c r="I13" s="3" t="s">
        <v>20</v>
      </c>
      <c r="J13" s="4" t="s">
        <v>21</v>
      </c>
      <c r="K13" s="5" t="s">
        <v>22</v>
      </c>
      <c r="L13" s="6" t="s">
        <v>23</v>
      </c>
      <c r="M13" s="6" t="s">
        <v>23</v>
      </c>
      <c r="N13" s="6" t="s">
        <v>23</v>
      </c>
      <c r="O13" s="3">
        <f>VALUE(RIGHT(F13,1))</f>
        <v>1</v>
      </c>
    </row>
    <row r="14" ht="62" customHeight="1" spans="1:15" x14ac:dyDescent="0.25">
      <c r="A14" s="3" t="s">
        <v>50</v>
      </c>
      <c r="B14" s="4" t="s">
        <v>16</v>
      </c>
      <c r="C14" s="4" t="s">
        <v>46</v>
      </c>
      <c r="D14" s="3" t="s">
        <v>51</v>
      </c>
      <c r="E14" s="4" t="s">
        <v>52</v>
      </c>
      <c r="F14" s="3" t="s">
        <v>7</v>
      </c>
      <c r="G14" s="3" t="s">
        <v>23</v>
      </c>
      <c r="H14" s="3" t="s">
        <v>20</v>
      </c>
      <c r="I14" s="3" t="s">
        <v>20</v>
      </c>
      <c r="J14" s="4" t="s">
        <v>21</v>
      </c>
      <c r="K14" s="5" t="s">
        <v>22</v>
      </c>
      <c r="L14" s="6" t="s">
        <v>23</v>
      </c>
      <c r="M14" s="6" t="s">
        <v>23</v>
      </c>
      <c r="N14" s="6" t="s">
        <v>23</v>
      </c>
      <c r="O14" s="3">
        <f>VALUE(RIGHT(F14,1))</f>
        <v>2</v>
      </c>
    </row>
    <row r="15" ht="48" customHeight="1" spans="1:15" x14ac:dyDescent="0.25">
      <c r="A15" s="3" t="s">
        <v>53</v>
      </c>
      <c r="B15" s="4" t="s">
        <v>16</v>
      </c>
      <c r="C15" s="4" t="s">
        <v>46</v>
      </c>
      <c r="D15" s="3" t="s">
        <v>18</v>
      </c>
      <c r="E15" s="4" t="s">
        <v>54</v>
      </c>
      <c r="F15" s="3" t="s">
        <v>7</v>
      </c>
      <c r="G15" s="3" t="s">
        <v>23</v>
      </c>
      <c r="H15" s="3" t="s">
        <v>20</v>
      </c>
      <c r="I15" s="3" t="s">
        <v>20</v>
      </c>
      <c r="J15" s="4" t="s">
        <v>21</v>
      </c>
      <c r="K15" s="5" t="s">
        <v>22</v>
      </c>
      <c r="L15" s="6" t="s">
        <v>23</v>
      </c>
      <c r="M15" s="6" t="s">
        <v>23</v>
      </c>
      <c r="N15" s="6" t="s">
        <v>23</v>
      </c>
      <c r="O15" s="3">
        <f>VALUE(RIGHT(F15,1))</f>
        <v>2</v>
      </c>
    </row>
    <row r="16" ht="48" customHeight="1" spans="1:15" x14ac:dyDescent="0.25">
      <c r="A16" s="3" t="s">
        <v>55</v>
      </c>
      <c r="B16" s="4" t="s">
        <v>16</v>
      </c>
      <c r="C16" s="4" t="s">
        <v>46</v>
      </c>
      <c r="D16" s="3" t="s">
        <v>18</v>
      </c>
      <c r="E16" s="4" t="s">
        <v>56</v>
      </c>
      <c r="F16" s="3" t="s">
        <v>7</v>
      </c>
      <c r="G16" s="3" t="s">
        <v>23</v>
      </c>
      <c r="H16" s="3" t="s">
        <v>20</v>
      </c>
      <c r="I16" s="3" t="s">
        <v>20</v>
      </c>
      <c r="J16" s="4" t="s">
        <v>21</v>
      </c>
      <c r="K16" s="5" t="s">
        <v>22</v>
      </c>
      <c r="L16" s="6" t="s">
        <v>23</v>
      </c>
      <c r="M16" s="6" t="s">
        <v>23</v>
      </c>
      <c r="N16" s="6" t="s">
        <v>23</v>
      </c>
      <c r="O16" s="3">
        <f>VALUE(RIGHT(F16,1))</f>
        <v>2</v>
      </c>
    </row>
    <row r="17" ht="76" customHeight="1" spans="1:15" x14ac:dyDescent="0.25">
      <c r="A17" s="3" t="s">
        <v>57</v>
      </c>
      <c r="B17" s="4" t="s">
        <v>16</v>
      </c>
      <c r="C17" s="4" t="s">
        <v>58</v>
      </c>
      <c r="D17" s="3" t="s">
        <v>18</v>
      </c>
      <c r="E17" s="4" t="s">
        <v>59</v>
      </c>
      <c r="F17" s="3" t="s">
        <v>6</v>
      </c>
      <c r="G17" s="3" t="s">
        <v>20</v>
      </c>
      <c r="H17" s="3" t="s">
        <v>20</v>
      </c>
      <c r="I17" s="3" t="s">
        <v>20</v>
      </c>
      <c r="J17" s="4" t="s">
        <v>60</v>
      </c>
      <c r="K17" s="5" t="s">
        <v>22</v>
      </c>
      <c r="L17" s="6" t="s">
        <v>23</v>
      </c>
      <c r="M17" s="6" t="s">
        <v>23</v>
      </c>
      <c r="N17" s="6" t="s">
        <v>23</v>
      </c>
      <c r="O17" s="3">
        <f>VALUE(RIGHT(F17,1))</f>
        <v>1</v>
      </c>
    </row>
    <row r="18" ht="76" customHeight="1" spans="1:15" x14ac:dyDescent="0.25">
      <c r="A18" s="3" t="s">
        <v>61</v>
      </c>
      <c r="B18" s="4" t="s">
        <v>16</v>
      </c>
      <c r="C18" s="4" t="s">
        <v>58</v>
      </c>
      <c r="D18" s="3" t="s">
        <v>62</v>
      </c>
      <c r="E18" s="4" t="s">
        <v>63</v>
      </c>
      <c r="F18" s="3" t="s">
        <v>6</v>
      </c>
      <c r="G18" s="3" t="s">
        <v>20</v>
      </c>
      <c r="H18" s="3" t="s">
        <v>20</v>
      </c>
      <c r="I18" s="3" t="s">
        <v>20</v>
      </c>
      <c r="J18" s="4" t="s">
        <v>60</v>
      </c>
      <c r="K18" s="5" t="s">
        <v>22</v>
      </c>
      <c r="L18" s="6" t="s">
        <v>23</v>
      </c>
      <c r="M18" s="6" t="s">
        <v>23</v>
      </c>
      <c r="N18" s="6" t="s">
        <v>23</v>
      </c>
      <c r="O18" s="3">
        <f>VALUE(RIGHT(F18,1))</f>
        <v>1</v>
      </c>
    </row>
    <row r="19" ht="76" customHeight="1" spans="1:15" x14ac:dyDescent="0.25">
      <c r="A19" s="3" t="s">
        <v>64</v>
      </c>
      <c r="B19" s="4" t="s">
        <v>16</v>
      </c>
      <c r="C19" s="4" t="s">
        <v>58</v>
      </c>
      <c r="D19" s="3" t="s">
        <v>65</v>
      </c>
      <c r="E19" s="4" t="s">
        <v>66</v>
      </c>
      <c r="F19" s="3" t="s">
        <v>6</v>
      </c>
      <c r="G19" s="3" t="s">
        <v>20</v>
      </c>
      <c r="H19" s="3" t="s">
        <v>20</v>
      </c>
      <c r="I19" s="3" t="s">
        <v>20</v>
      </c>
      <c r="J19" s="4" t="s">
        <v>60</v>
      </c>
      <c r="K19" s="5" t="s">
        <v>22</v>
      </c>
      <c r="L19" s="6" t="s">
        <v>23</v>
      </c>
      <c r="M19" s="6" t="s">
        <v>23</v>
      </c>
      <c r="N19" s="6" t="s">
        <v>23</v>
      </c>
      <c r="O19" s="3">
        <f>VALUE(RIGHT(F19,1))</f>
        <v>1</v>
      </c>
    </row>
    <row r="20" ht="76" customHeight="1" spans="1:15" x14ac:dyDescent="0.25">
      <c r="A20" s="3" t="s">
        <v>67</v>
      </c>
      <c r="B20" s="4" t="s">
        <v>16</v>
      </c>
      <c r="C20" s="4" t="s">
        <v>58</v>
      </c>
      <c r="D20" s="3" t="s">
        <v>18</v>
      </c>
      <c r="E20" s="4" t="s">
        <v>68</v>
      </c>
      <c r="F20" s="3" t="s">
        <v>7</v>
      </c>
      <c r="G20" s="3" t="s">
        <v>23</v>
      </c>
      <c r="H20" s="3" t="s">
        <v>20</v>
      </c>
      <c r="I20" s="3" t="s">
        <v>20</v>
      </c>
      <c r="J20" s="4" t="s">
        <v>60</v>
      </c>
      <c r="K20" s="5" t="s">
        <v>22</v>
      </c>
      <c r="L20" s="6" t="s">
        <v>23</v>
      </c>
      <c r="M20" s="6" t="s">
        <v>23</v>
      </c>
      <c r="N20" s="6" t="s">
        <v>23</v>
      </c>
      <c r="O20" s="3">
        <f>VALUE(RIGHT(F20,1))</f>
        <v>2</v>
      </c>
    </row>
    <row r="21" ht="76" customHeight="1" spans="1:15" x14ac:dyDescent="0.25">
      <c r="A21" s="3" t="s">
        <v>69</v>
      </c>
      <c r="B21" s="4" t="s">
        <v>16</v>
      </c>
      <c r="C21" s="4" t="s">
        <v>58</v>
      </c>
      <c r="D21" s="3" t="s">
        <v>18</v>
      </c>
      <c r="E21" s="4" t="s">
        <v>70</v>
      </c>
      <c r="F21" s="3" t="s">
        <v>8</v>
      </c>
      <c r="G21" s="3" t="s">
        <v>23</v>
      </c>
      <c r="H21" s="3" t="s">
        <v>23</v>
      </c>
      <c r="I21" s="3" t="s">
        <v>20</v>
      </c>
      <c r="J21" s="4" t="s">
        <v>60</v>
      </c>
      <c r="K21" s="5" t="s">
        <v>22</v>
      </c>
      <c r="L21" s="6" t="s">
        <v>23</v>
      </c>
      <c r="M21" s="6" t="s">
        <v>23</v>
      </c>
      <c r="N21" s="6" t="s">
        <v>23</v>
      </c>
      <c r="O21" s="3">
        <f>VALUE(RIGHT(F21,1))</f>
        <v>3</v>
      </c>
    </row>
    <row r="22" ht="48" customHeight="1" spans="1:15" x14ac:dyDescent="0.25">
      <c r="A22" s="3" t="s">
        <v>71</v>
      </c>
      <c r="B22" s="4" t="s">
        <v>16</v>
      </c>
      <c r="C22" s="4" t="s">
        <v>72</v>
      </c>
      <c r="D22" s="3" t="s">
        <v>18</v>
      </c>
      <c r="E22" s="4" t="s">
        <v>73</v>
      </c>
      <c r="F22" s="3" t="s">
        <v>7</v>
      </c>
      <c r="G22" s="3" t="s">
        <v>23</v>
      </c>
      <c r="H22" s="3" t="s">
        <v>20</v>
      </c>
      <c r="I22" s="3" t="s">
        <v>20</v>
      </c>
      <c r="J22" s="4" t="s">
        <v>74</v>
      </c>
      <c r="K22" s="5" t="s">
        <v>22</v>
      </c>
      <c r="L22" s="6" t="s">
        <v>23</v>
      </c>
      <c r="M22" s="6" t="s">
        <v>23</v>
      </c>
      <c r="N22" s="6" t="s">
        <v>23</v>
      </c>
      <c r="O22" s="3">
        <f>VALUE(RIGHT(F22,1))</f>
        <v>2</v>
      </c>
    </row>
    <row r="23" ht="48" customHeight="1" spans="1:15" x14ac:dyDescent="0.25">
      <c r="A23" s="3" t="s">
        <v>75</v>
      </c>
      <c r="B23" s="4" t="s">
        <v>16</v>
      </c>
      <c r="C23" s="4" t="s">
        <v>72</v>
      </c>
      <c r="D23" s="3" t="s">
        <v>76</v>
      </c>
      <c r="E23" s="4" t="s">
        <v>77</v>
      </c>
      <c r="F23" s="3" t="s">
        <v>6</v>
      </c>
      <c r="G23" s="3" t="s">
        <v>20</v>
      </c>
      <c r="H23" s="3" t="s">
        <v>20</v>
      </c>
      <c r="I23" s="3" t="s">
        <v>20</v>
      </c>
      <c r="J23" s="4" t="s">
        <v>74</v>
      </c>
      <c r="K23" s="5" t="s">
        <v>22</v>
      </c>
      <c r="L23" s="6" t="s">
        <v>23</v>
      </c>
      <c r="M23" s="6" t="s">
        <v>23</v>
      </c>
      <c r="N23" s="6" t="s">
        <v>23</v>
      </c>
      <c r="O23" s="3">
        <f>VALUE(RIGHT(F23,1))</f>
        <v>1</v>
      </c>
    </row>
    <row r="24" ht="48" customHeight="1" spans="1:15" x14ac:dyDescent="0.25">
      <c r="A24" s="3" t="s">
        <v>78</v>
      </c>
      <c r="B24" s="4" t="s">
        <v>16</v>
      </c>
      <c r="C24" s="4" t="s">
        <v>72</v>
      </c>
      <c r="D24" s="3" t="s">
        <v>79</v>
      </c>
      <c r="E24" s="4" t="s">
        <v>80</v>
      </c>
      <c r="F24" s="3" t="s">
        <v>7</v>
      </c>
      <c r="G24" s="3" t="s">
        <v>23</v>
      </c>
      <c r="H24" s="3" t="s">
        <v>20</v>
      </c>
      <c r="I24" s="3" t="s">
        <v>20</v>
      </c>
      <c r="J24" s="4" t="s">
        <v>74</v>
      </c>
      <c r="K24" s="5" t="s">
        <v>22</v>
      </c>
      <c r="L24" s="6" t="s">
        <v>23</v>
      </c>
      <c r="M24" s="6" t="s">
        <v>23</v>
      </c>
      <c r="N24" s="6" t="s">
        <v>23</v>
      </c>
      <c r="O24" s="3">
        <f>VALUE(RIGHT(F24,1))</f>
        <v>2</v>
      </c>
    </row>
    <row r="25" ht="90" customHeight="1" spans="1:15" x14ac:dyDescent="0.25">
      <c r="A25" s="3" t="s">
        <v>81</v>
      </c>
      <c r="B25" s="4" t="s">
        <v>82</v>
      </c>
      <c r="C25" s="4" t="s">
        <v>83</v>
      </c>
      <c r="D25" s="3" t="s">
        <v>65</v>
      </c>
      <c r="E25" s="4" t="s">
        <v>84</v>
      </c>
      <c r="F25" s="3" t="s">
        <v>6</v>
      </c>
      <c r="G25" s="3" t="s">
        <v>20</v>
      </c>
      <c r="H25" s="3" t="s">
        <v>20</v>
      </c>
      <c r="I25" s="3" t="s">
        <v>20</v>
      </c>
      <c r="J25" s="4" t="s">
        <v>21</v>
      </c>
      <c r="K25" s="5" t="s">
        <v>22</v>
      </c>
      <c r="L25" s="6" t="s">
        <v>23</v>
      </c>
      <c r="M25" s="6" t="s">
        <v>23</v>
      </c>
      <c r="N25" s="6" t="s">
        <v>23</v>
      </c>
      <c r="O25" s="3">
        <f>VALUE(RIGHT(F25,1))</f>
        <v>1</v>
      </c>
    </row>
    <row r="26" ht="76" customHeight="1" spans="1:15" x14ac:dyDescent="0.25">
      <c r="A26" s="3" t="s">
        <v>85</v>
      </c>
      <c r="B26" s="4" t="s">
        <v>82</v>
      </c>
      <c r="C26" s="4" t="s">
        <v>83</v>
      </c>
      <c r="D26" s="3" t="s">
        <v>65</v>
      </c>
      <c r="E26" s="4" t="s">
        <v>86</v>
      </c>
      <c r="F26" s="3" t="s">
        <v>6</v>
      </c>
      <c r="G26" s="3" t="s">
        <v>20</v>
      </c>
      <c r="H26" s="3" t="s">
        <v>20</v>
      </c>
      <c r="I26" s="3" t="s">
        <v>20</v>
      </c>
      <c r="J26" s="4" t="s">
        <v>21</v>
      </c>
      <c r="K26" s="5" t="s">
        <v>22</v>
      </c>
      <c r="L26" s="6" t="s">
        <v>23</v>
      </c>
      <c r="M26" s="6" t="s">
        <v>23</v>
      </c>
      <c r="N26" s="6" t="s">
        <v>23</v>
      </c>
      <c r="O26" s="3">
        <f>VALUE(RIGHT(F26,1))</f>
        <v>1</v>
      </c>
    </row>
    <row r="27" ht="48" customHeight="1" spans="1:15" x14ac:dyDescent="0.25">
      <c r="A27" s="3" t="s">
        <v>87</v>
      </c>
      <c r="B27" s="4" t="s">
        <v>82</v>
      </c>
      <c r="C27" s="4" t="s">
        <v>83</v>
      </c>
      <c r="D27" s="3" t="s">
        <v>18</v>
      </c>
      <c r="E27" s="4" t="s">
        <v>88</v>
      </c>
      <c r="F27" s="3" t="s">
        <v>7</v>
      </c>
      <c r="G27" s="3" t="s">
        <v>23</v>
      </c>
      <c r="H27" s="3" t="s">
        <v>20</v>
      </c>
      <c r="I27" s="3" t="s">
        <v>20</v>
      </c>
      <c r="J27" s="4" t="s">
        <v>21</v>
      </c>
      <c r="K27" s="5" t="s">
        <v>22</v>
      </c>
      <c r="L27" s="6" t="s">
        <v>23</v>
      </c>
      <c r="M27" s="6" t="s">
        <v>23</v>
      </c>
      <c r="N27" s="6" t="s">
        <v>23</v>
      </c>
      <c r="O27" s="3">
        <f>VALUE(RIGHT(F27,1))</f>
        <v>2</v>
      </c>
    </row>
    <row r="28" ht="48" customHeight="1" spans="1:15" x14ac:dyDescent="0.25">
      <c r="A28" s="3" t="s">
        <v>89</v>
      </c>
      <c r="B28" s="4" t="s">
        <v>82</v>
      </c>
      <c r="C28" s="4" t="s">
        <v>90</v>
      </c>
      <c r="D28" s="3" t="s">
        <v>76</v>
      </c>
      <c r="E28" s="4" t="s">
        <v>91</v>
      </c>
      <c r="F28" s="3" t="s">
        <v>6</v>
      </c>
      <c r="G28" s="3" t="s">
        <v>20</v>
      </c>
      <c r="H28" s="3" t="s">
        <v>20</v>
      </c>
      <c r="I28" s="3" t="s">
        <v>20</v>
      </c>
      <c r="J28" s="4" t="s">
        <v>21</v>
      </c>
      <c r="K28" s="5" t="s">
        <v>22</v>
      </c>
      <c r="L28" s="6" t="s">
        <v>23</v>
      </c>
      <c r="M28" s="6" t="s">
        <v>23</v>
      </c>
      <c r="N28" s="6" t="s">
        <v>23</v>
      </c>
      <c r="O28" s="3">
        <f>VALUE(RIGHT(F28,1))</f>
        <v>1</v>
      </c>
    </row>
    <row r="29" ht="48" customHeight="1" spans="1:15" x14ac:dyDescent="0.25">
      <c r="A29" s="3" t="s">
        <v>92</v>
      </c>
      <c r="B29" s="4" t="s">
        <v>82</v>
      </c>
      <c r="C29" s="4" t="s">
        <v>90</v>
      </c>
      <c r="D29" s="3" t="s">
        <v>76</v>
      </c>
      <c r="E29" s="4" t="s">
        <v>93</v>
      </c>
      <c r="F29" s="3" t="s">
        <v>6</v>
      </c>
      <c r="G29" s="3" t="s">
        <v>20</v>
      </c>
      <c r="H29" s="3" t="s">
        <v>20</v>
      </c>
      <c r="I29" s="3" t="s">
        <v>20</v>
      </c>
      <c r="J29" s="4" t="s">
        <v>21</v>
      </c>
      <c r="K29" s="5" t="s">
        <v>22</v>
      </c>
      <c r="L29" s="6" t="s">
        <v>23</v>
      </c>
      <c r="M29" s="6" t="s">
        <v>23</v>
      </c>
      <c r="N29" s="6" t="s">
        <v>23</v>
      </c>
      <c r="O29" s="3">
        <f>VALUE(RIGHT(F29,1))</f>
        <v>1</v>
      </c>
    </row>
    <row r="30" ht="90" customHeight="1" spans="1:15" x14ac:dyDescent="0.25">
      <c r="A30" s="3" t="s">
        <v>94</v>
      </c>
      <c r="B30" s="4" t="s">
        <v>82</v>
      </c>
      <c r="C30" s="4" t="s">
        <v>90</v>
      </c>
      <c r="D30" s="3" t="s">
        <v>76</v>
      </c>
      <c r="E30" s="4" t="s">
        <v>95</v>
      </c>
      <c r="F30" s="3" t="s">
        <v>7</v>
      </c>
      <c r="G30" s="3" t="s">
        <v>23</v>
      </c>
      <c r="H30" s="3" t="s">
        <v>20</v>
      </c>
      <c r="I30" s="3" t="s">
        <v>20</v>
      </c>
      <c r="J30" s="4" t="s">
        <v>21</v>
      </c>
      <c r="K30" s="5" t="s">
        <v>22</v>
      </c>
      <c r="L30" s="6" t="s">
        <v>23</v>
      </c>
      <c r="M30" s="6" t="s">
        <v>23</v>
      </c>
      <c r="N30" s="6" t="s">
        <v>23</v>
      </c>
      <c r="O30" s="3">
        <f>VALUE(RIGHT(F30,1))</f>
        <v>2</v>
      </c>
    </row>
    <row r="31" ht="48" customHeight="1" spans="1:15" x14ac:dyDescent="0.25">
      <c r="A31" s="3" t="s">
        <v>96</v>
      </c>
      <c r="B31" s="4" t="s">
        <v>82</v>
      </c>
      <c r="C31" s="4" t="s">
        <v>90</v>
      </c>
      <c r="D31" s="3" t="s">
        <v>76</v>
      </c>
      <c r="E31" s="4" t="s">
        <v>97</v>
      </c>
      <c r="F31" s="3" t="s">
        <v>7</v>
      </c>
      <c r="G31" s="3" t="s">
        <v>23</v>
      </c>
      <c r="H31" s="3" t="s">
        <v>20</v>
      </c>
      <c r="I31" s="3" t="s">
        <v>20</v>
      </c>
      <c r="J31" s="4" t="s">
        <v>21</v>
      </c>
      <c r="K31" s="5" t="s">
        <v>22</v>
      </c>
      <c r="L31" s="6" t="s">
        <v>23</v>
      </c>
      <c r="M31" s="6" t="s">
        <v>23</v>
      </c>
      <c r="N31" s="6" t="s">
        <v>23</v>
      </c>
      <c r="O31" s="3">
        <f>VALUE(RIGHT(F31,1))</f>
        <v>2</v>
      </c>
    </row>
    <row r="32" ht="48" customHeight="1" spans="1:15" x14ac:dyDescent="0.25">
      <c r="A32" s="3" t="s">
        <v>98</v>
      </c>
      <c r="B32" s="4" t="s">
        <v>82</v>
      </c>
      <c r="C32" s="4" t="s">
        <v>90</v>
      </c>
      <c r="D32" s="3" t="s">
        <v>76</v>
      </c>
      <c r="E32" s="4" t="s">
        <v>99</v>
      </c>
      <c r="F32" s="3" t="s">
        <v>7</v>
      </c>
      <c r="G32" s="3" t="s">
        <v>23</v>
      </c>
      <c r="H32" s="3" t="s">
        <v>20</v>
      </c>
      <c r="I32" s="3" t="s">
        <v>20</v>
      </c>
      <c r="J32" s="4" t="s">
        <v>21</v>
      </c>
      <c r="K32" s="5" t="s">
        <v>22</v>
      </c>
      <c r="L32" s="6" t="s">
        <v>23</v>
      </c>
      <c r="M32" s="6" t="s">
        <v>23</v>
      </c>
      <c r="N32" s="6" t="s">
        <v>23</v>
      </c>
      <c r="O32" s="3">
        <f>VALUE(RIGHT(F32,1))</f>
        <v>2</v>
      </c>
    </row>
    <row r="33" ht="76" customHeight="1" spans="1:15" x14ac:dyDescent="0.25">
      <c r="A33" s="3" t="s">
        <v>100</v>
      </c>
      <c r="B33" s="4" t="s">
        <v>82</v>
      </c>
      <c r="C33" s="4" t="s">
        <v>90</v>
      </c>
      <c r="D33" s="3" t="s">
        <v>76</v>
      </c>
      <c r="E33" s="4" t="s">
        <v>101</v>
      </c>
      <c r="F33" s="3" t="s">
        <v>8</v>
      </c>
      <c r="G33" s="3" t="s">
        <v>23</v>
      </c>
      <c r="H33" s="3" t="s">
        <v>23</v>
      </c>
      <c r="I33" s="3" t="s">
        <v>20</v>
      </c>
      <c r="J33" s="4" t="s">
        <v>21</v>
      </c>
      <c r="K33" s="5" t="s">
        <v>22</v>
      </c>
      <c r="L33" s="6" t="s">
        <v>23</v>
      </c>
      <c r="M33" s="6" t="s">
        <v>23</v>
      </c>
      <c r="N33" s="6" t="s">
        <v>23</v>
      </c>
      <c r="O33" s="3">
        <f>VALUE(RIGHT(F33,1))</f>
        <v>3</v>
      </c>
    </row>
    <row r="34" ht="48" customHeight="1" spans="1:15" x14ac:dyDescent="0.25">
      <c r="A34" s="3" t="s">
        <v>102</v>
      </c>
      <c r="B34" s="4" t="s">
        <v>82</v>
      </c>
      <c r="C34" s="4" t="s">
        <v>103</v>
      </c>
      <c r="D34" s="3" t="s">
        <v>76</v>
      </c>
      <c r="E34" s="4" t="s">
        <v>104</v>
      </c>
      <c r="F34" s="3" t="s">
        <v>6</v>
      </c>
      <c r="G34" s="3" t="s">
        <v>20</v>
      </c>
      <c r="H34" s="3" t="s">
        <v>20</v>
      </c>
      <c r="I34" s="3" t="s">
        <v>20</v>
      </c>
      <c r="J34" s="4" t="s">
        <v>105</v>
      </c>
      <c r="K34" s="5" t="s">
        <v>22</v>
      </c>
      <c r="L34" s="6" t="s">
        <v>23</v>
      </c>
      <c r="M34" s="6" t="s">
        <v>23</v>
      </c>
      <c r="N34" s="6" t="s">
        <v>23</v>
      </c>
      <c r="O34" s="3">
        <f>VALUE(RIGHT(F34,1))</f>
        <v>1</v>
      </c>
    </row>
    <row r="35" ht="48" customHeight="1" spans="1:15" x14ac:dyDescent="0.25">
      <c r="A35" s="3" t="s">
        <v>106</v>
      </c>
      <c r="B35" s="4" t="s">
        <v>82</v>
      </c>
      <c r="C35" s="4" t="s">
        <v>103</v>
      </c>
      <c r="D35" s="3" t="s">
        <v>76</v>
      </c>
      <c r="E35" s="4" t="s">
        <v>107</v>
      </c>
      <c r="F35" s="3" t="s">
        <v>6</v>
      </c>
      <c r="G35" s="3" t="s">
        <v>20</v>
      </c>
      <c r="H35" s="3" t="s">
        <v>20</v>
      </c>
      <c r="I35" s="3" t="s">
        <v>20</v>
      </c>
      <c r="J35" s="4" t="s">
        <v>105</v>
      </c>
      <c r="K35" s="5" t="s">
        <v>22</v>
      </c>
      <c r="L35" s="6" t="s">
        <v>23</v>
      </c>
      <c r="M35" s="6" t="s">
        <v>23</v>
      </c>
      <c r="N35" s="6" t="s">
        <v>23</v>
      </c>
      <c r="O35" s="3">
        <f>VALUE(RIGHT(F35,1))</f>
        <v>1</v>
      </c>
    </row>
    <row r="36" ht="48" customHeight="1" spans="1:15" x14ac:dyDescent="0.25">
      <c r="A36" s="3" t="s">
        <v>108</v>
      </c>
      <c r="B36" s="4" t="s">
        <v>82</v>
      </c>
      <c r="C36" s="4" t="s">
        <v>103</v>
      </c>
      <c r="D36" s="3" t="s">
        <v>62</v>
      </c>
      <c r="E36" s="4" t="s">
        <v>109</v>
      </c>
      <c r="F36" s="3" t="s">
        <v>6</v>
      </c>
      <c r="G36" s="3" t="s">
        <v>20</v>
      </c>
      <c r="H36" s="3" t="s">
        <v>20</v>
      </c>
      <c r="I36" s="3" t="s">
        <v>20</v>
      </c>
      <c r="J36" s="4" t="s">
        <v>105</v>
      </c>
      <c r="K36" s="5" t="s">
        <v>22</v>
      </c>
      <c r="L36" s="6" t="s">
        <v>23</v>
      </c>
      <c r="M36" s="6" t="s">
        <v>23</v>
      </c>
      <c r="N36" s="6" t="s">
        <v>23</v>
      </c>
      <c r="O36" s="3">
        <f>VALUE(RIGHT(F36,1))</f>
        <v>1</v>
      </c>
    </row>
    <row r="37" ht="48" customHeight="1" spans="1:15" x14ac:dyDescent="0.25">
      <c r="A37" s="3" t="s">
        <v>110</v>
      </c>
      <c r="B37" s="4" t="s">
        <v>82</v>
      </c>
      <c r="C37" s="4" t="s">
        <v>103</v>
      </c>
      <c r="D37" s="3" t="s">
        <v>111</v>
      </c>
      <c r="E37" s="4" t="s">
        <v>112</v>
      </c>
      <c r="F37" s="3" t="s">
        <v>7</v>
      </c>
      <c r="G37" s="3" t="s">
        <v>23</v>
      </c>
      <c r="H37" s="3" t="s">
        <v>20</v>
      </c>
      <c r="I37" s="3" t="s">
        <v>20</v>
      </c>
      <c r="J37" s="4" t="s">
        <v>105</v>
      </c>
      <c r="K37" s="5" t="s">
        <v>22</v>
      </c>
      <c r="L37" s="6" t="s">
        <v>23</v>
      </c>
      <c r="M37" s="6" t="s">
        <v>23</v>
      </c>
      <c r="N37" s="6" t="s">
        <v>23</v>
      </c>
      <c r="O37" s="3">
        <f>VALUE(RIGHT(F37,1))</f>
        <v>2</v>
      </c>
    </row>
    <row r="38" ht="62" customHeight="1" spans="1:15" x14ac:dyDescent="0.25">
      <c r="A38" s="3" t="s">
        <v>113</v>
      </c>
      <c r="B38" s="4" t="s">
        <v>82</v>
      </c>
      <c r="C38" s="4" t="s">
        <v>103</v>
      </c>
      <c r="D38" s="3" t="s">
        <v>111</v>
      </c>
      <c r="E38" s="4" t="s">
        <v>114</v>
      </c>
      <c r="F38" s="3" t="s">
        <v>7</v>
      </c>
      <c r="G38" s="3" t="s">
        <v>23</v>
      </c>
      <c r="H38" s="3" t="s">
        <v>20</v>
      </c>
      <c r="I38" s="3" t="s">
        <v>20</v>
      </c>
      <c r="J38" s="4" t="s">
        <v>105</v>
      </c>
      <c r="K38" s="5" t="s">
        <v>22</v>
      </c>
      <c r="L38" s="6" t="s">
        <v>23</v>
      </c>
      <c r="M38" s="6" t="s">
        <v>23</v>
      </c>
      <c r="N38" s="6" t="s">
        <v>23</v>
      </c>
      <c r="O38" s="3">
        <f>VALUE(RIGHT(F38,1))</f>
        <v>2</v>
      </c>
    </row>
    <row r="39" ht="48" customHeight="1" spans="1:15" x14ac:dyDescent="0.25">
      <c r="A39" s="3" t="s">
        <v>115</v>
      </c>
      <c r="B39" s="4" t="s">
        <v>82</v>
      </c>
      <c r="C39" s="4" t="s">
        <v>103</v>
      </c>
      <c r="D39" s="3" t="s">
        <v>76</v>
      </c>
      <c r="E39" s="4" t="s">
        <v>116</v>
      </c>
      <c r="F39" s="3" t="s">
        <v>7</v>
      </c>
      <c r="G39" s="3" t="s">
        <v>23</v>
      </c>
      <c r="H39" s="3" t="s">
        <v>20</v>
      </c>
      <c r="I39" s="3" t="s">
        <v>20</v>
      </c>
      <c r="J39" s="4" t="s">
        <v>105</v>
      </c>
      <c r="K39" s="5" t="s">
        <v>22</v>
      </c>
      <c r="L39" s="6" t="s">
        <v>23</v>
      </c>
      <c r="M39" s="6" t="s">
        <v>23</v>
      </c>
      <c r="N39" s="6" t="s">
        <v>23</v>
      </c>
      <c r="O39" s="3">
        <f>VALUE(RIGHT(F39,1))</f>
        <v>2</v>
      </c>
    </row>
    <row r="40" ht="76" customHeight="1" spans="1:15" x14ac:dyDescent="0.25">
      <c r="A40" s="3" t="s">
        <v>117</v>
      </c>
      <c r="B40" s="4" t="s">
        <v>82</v>
      </c>
      <c r="C40" s="4" t="s">
        <v>118</v>
      </c>
      <c r="D40" s="3" t="s">
        <v>76</v>
      </c>
      <c r="E40" s="4" t="s">
        <v>119</v>
      </c>
      <c r="F40" s="3" t="s">
        <v>6</v>
      </c>
      <c r="G40" s="3" t="s">
        <v>20</v>
      </c>
      <c r="H40" s="3" t="s">
        <v>20</v>
      </c>
      <c r="I40" s="3" t="s">
        <v>20</v>
      </c>
      <c r="J40" s="4" t="s">
        <v>120</v>
      </c>
      <c r="K40" s="5" t="s">
        <v>22</v>
      </c>
      <c r="L40" s="6" t="s">
        <v>23</v>
      </c>
      <c r="M40" s="6" t="s">
        <v>23</v>
      </c>
      <c r="N40" s="6" t="s">
        <v>23</v>
      </c>
      <c r="O40" s="3">
        <f>VALUE(RIGHT(F40,1))</f>
        <v>1</v>
      </c>
    </row>
    <row r="41" ht="48" customHeight="1" spans="1:15" x14ac:dyDescent="0.25">
      <c r="A41" s="3" t="s">
        <v>121</v>
      </c>
      <c r="B41" s="4" t="s">
        <v>82</v>
      </c>
      <c r="C41" s="4" t="s">
        <v>118</v>
      </c>
      <c r="D41" s="3" t="s">
        <v>62</v>
      </c>
      <c r="E41" s="4" t="s">
        <v>122</v>
      </c>
      <c r="F41" s="3" t="s">
        <v>7</v>
      </c>
      <c r="G41" s="3" t="s">
        <v>23</v>
      </c>
      <c r="H41" s="3" t="s">
        <v>20</v>
      </c>
      <c r="I41" s="3" t="s">
        <v>20</v>
      </c>
      <c r="J41" s="4" t="s">
        <v>120</v>
      </c>
      <c r="K41" s="5" t="s">
        <v>22</v>
      </c>
      <c r="L41" s="6" t="s">
        <v>23</v>
      </c>
      <c r="M41" s="6" t="s">
        <v>23</v>
      </c>
      <c r="N41" s="6" t="s">
        <v>23</v>
      </c>
      <c r="O41" s="3">
        <f>VALUE(RIGHT(F41,1))</f>
        <v>2</v>
      </c>
    </row>
    <row r="42" ht="62" customHeight="1" spans="1:15" x14ac:dyDescent="0.25">
      <c r="A42" s="3" t="s">
        <v>123</v>
      </c>
      <c r="B42" s="4" t="s">
        <v>82</v>
      </c>
      <c r="C42" s="4" t="s">
        <v>118</v>
      </c>
      <c r="D42" s="3" t="s">
        <v>76</v>
      </c>
      <c r="E42" s="4" t="s">
        <v>124</v>
      </c>
      <c r="F42" s="3" t="s">
        <v>6</v>
      </c>
      <c r="G42" s="3" t="s">
        <v>20</v>
      </c>
      <c r="H42" s="3" t="s">
        <v>20</v>
      </c>
      <c r="I42" s="3" t="s">
        <v>20</v>
      </c>
      <c r="J42" s="4" t="s">
        <v>120</v>
      </c>
      <c r="K42" s="5" t="s">
        <v>22</v>
      </c>
      <c r="L42" s="6" t="s">
        <v>23</v>
      </c>
      <c r="M42" s="6" t="s">
        <v>23</v>
      </c>
      <c r="N42" s="6" t="s">
        <v>23</v>
      </c>
      <c r="O42" s="3">
        <f>VALUE(RIGHT(F42,1))</f>
        <v>1</v>
      </c>
    </row>
    <row r="43" ht="48" customHeight="1" spans="1:15" x14ac:dyDescent="0.25">
      <c r="A43" s="3" t="s">
        <v>125</v>
      </c>
      <c r="B43" s="4" t="s">
        <v>82</v>
      </c>
      <c r="C43" s="4" t="s">
        <v>118</v>
      </c>
      <c r="D43" s="3" t="s">
        <v>76</v>
      </c>
      <c r="E43" s="4" t="s">
        <v>126</v>
      </c>
      <c r="F43" s="3" t="s">
        <v>7</v>
      </c>
      <c r="G43" s="3" t="s">
        <v>23</v>
      </c>
      <c r="H43" s="3" t="s">
        <v>20</v>
      </c>
      <c r="I43" s="3" t="s">
        <v>20</v>
      </c>
      <c r="J43" s="4" t="s">
        <v>120</v>
      </c>
      <c r="K43" s="5" t="s">
        <v>22</v>
      </c>
      <c r="L43" s="6" t="s">
        <v>23</v>
      </c>
      <c r="M43" s="6" t="s">
        <v>23</v>
      </c>
      <c r="N43" s="6" t="s">
        <v>23</v>
      </c>
      <c r="O43" s="3">
        <f>VALUE(RIGHT(F43,1))</f>
        <v>2</v>
      </c>
    </row>
    <row r="44" ht="48" customHeight="1" spans="1:15" x14ac:dyDescent="0.25">
      <c r="A44" s="3" t="s">
        <v>127</v>
      </c>
      <c r="B44" s="4" t="s">
        <v>82</v>
      </c>
      <c r="C44" s="4" t="s">
        <v>118</v>
      </c>
      <c r="D44" s="3" t="s">
        <v>76</v>
      </c>
      <c r="E44" s="4" t="s">
        <v>128</v>
      </c>
      <c r="F44" s="3" t="s">
        <v>7</v>
      </c>
      <c r="G44" s="3" t="s">
        <v>23</v>
      </c>
      <c r="H44" s="3" t="s">
        <v>20</v>
      </c>
      <c r="I44" s="3" t="s">
        <v>20</v>
      </c>
      <c r="J44" s="4" t="s">
        <v>120</v>
      </c>
      <c r="K44" s="5" t="s">
        <v>22</v>
      </c>
      <c r="L44" s="6" t="s">
        <v>23</v>
      </c>
      <c r="M44" s="6" t="s">
        <v>23</v>
      </c>
      <c r="N44" s="6" t="s">
        <v>23</v>
      </c>
      <c r="O44" s="3">
        <f>VALUE(RIGHT(F44,1))</f>
        <v>2</v>
      </c>
    </row>
    <row r="45" ht="62" customHeight="1" spans="1:15" x14ac:dyDescent="0.25">
      <c r="A45" s="3" t="s">
        <v>129</v>
      </c>
      <c r="B45" s="4" t="s">
        <v>82</v>
      </c>
      <c r="C45" s="4" t="s">
        <v>118</v>
      </c>
      <c r="D45" s="3" t="s">
        <v>18</v>
      </c>
      <c r="E45" s="4" t="s">
        <v>130</v>
      </c>
      <c r="F45" s="3" t="s">
        <v>7</v>
      </c>
      <c r="G45" s="3" t="s">
        <v>23</v>
      </c>
      <c r="H45" s="3" t="s">
        <v>20</v>
      </c>
      <c r="I45" s="3" t="s">
        <v>20</v>
      </c>
      <c r="J45" s="4" t="s">
        <v>120</v>
      </c>
      <c r="K45" s="5" t="s">
        <v>22</v>
      </c>
      <c r="L45" s="6" t="s">
        <v>23</v>
      </c>
      <c r="M45" s="6" t="s">
        <v>23</v>
      </c>
      <c r="N45" s="6" t="s">
        <v>23</v>
      </c>
      <c r="O45" s="3">
        <f>VALUE(RIGHT(F45,1))</f>
        <v>2</v>
      </c>
    </row>
    <row r="46" ht="76" customHeight="1" spans="1:15" x14ac:dyDescent="0.25">
      <c r="A46" s="3" t="s">
        <v>131</v>
      </c>
      <c r="B46" s="4" t="s">
        <v>82</v>
      </c>
      <c r="C46" s="4" t="s">
        <v>118</v>
      </c>
      <c r="D46" s="3" t="s">
        <v>18</v>
      </c>
      <c r="E46" s="4" t="s">
        <v>132</v>
      </c>
      <c r="F46" s="3" t="s">
        <v>8</v>
      </c>
      <c r="G46" s="3" t="s">
        <v>23</v>
      </c>
      <c r="H46" s="3" t="s">
        <v>23</v>
      </c>
      <c r="I46" s="3" t="s">
        <v>20</v>
      </c>
      <c r="J46" s="4" t="s">
        <v>120</v>
      </c>
      <c r="K46" s="5" t="s">
        <v>22</v>
      </c>
      <c r="L46" s="6" t="s">
        <v>23</v>
      </c>
      <c r="M46" s="6" t="s">
        <v>23</v>
      </c>
      <c r="N46" s="6" t="s">
        <v>23</v>
      </c>
      <c r="O46" s="3">
        <f>VALUE(RIGHT(F46,1))</f>
        <v>3</v>
      </c>
    </row>
    <row r="47" ht="76" customHeight="1" spans="1:15" x14ac:dyDescent="0.25">
      <c r="A47" s="3" t="s">
        <v>133</v>
      </c>
      <c r="B47" s="4" t="s">
        <v>82</v>
      </c>
      <c r="C47" s="4" t="s">
        <v>134</v>
      </c>
      <c r="D47" s="3" t="s">
        <v>76</v>
      </c>
      <c r="E47" s="4" t="s">
        <v>135</v>
      </c>
      <c r="F47" s="3" t="s">
        <v>7</v>
      </c>
      <c r="G47" s="3" t="s">
        <v>23</v>
      </c>
      <c r="H47" s="3" t="s">
        <v>20</v>
      </c>
      <c r="I47" s="3" t="s">
        <v>20</v>
      </c>
      <c r="J47" s="4" t="s">
        <v>136</v>
      </c>
      <c r="K47" s="5" t="s">
        <v>22</v>
      </c>
      <c r="L47" s="6" t="s">
        <v>23</v>
      </c>
      <c r="M47" s="6" t="s">
        <v>23</v>
      </c>
      <c r="N47" s="6" t="s">
        <v>23</v>
      </c>
      <c r="O47" s="3">
        <f>VALUE(RIGHT(F47,1))</f>
        <v>2</v>
      </c>
    </row>
    <row r="48" ht="76" customHeight="1" spans="1:15" x14ac:dyDescent="0.25">
      <c r="A48" s="3" t="s">
        <v>137</v>
      </c>
      <c r="B48" s="4" t="s">
        <v>82</v>
      </c>
      <c r="C48" s="4" t="s">
        <v>134</v>
      </c>
      <c r="D48" s="3" t="s">
        <v>79</v>
      </c>
      <c r="E48" s="4" t="s">
        <v>138</v>
      </c>
      <c r="F48" s="3" t="s">
        <v>7</v>
      </c>
      <c r="G48" s="3" t="s">
        <v>23</v>
      </c>
      <c r="H48" s="3" t="s">
        <v>20</v>
      </c>
      <c r="I48" s="3" t="s">
        <v>20</v>
      </c>
      <c r="J48" s="4" t="s">
        <v>136</v>
      </c>
      <c r="K48" s="5" t="s">
        <v>22</v>
      </c>
      <c r="L48" s="6" t="s">
        <v>23</v>
      </c>
      <c r="M48" s="6" t="s">
        <v>23</v>
      </c>
      <c r="N48" s="6" t="s">
        <v>23</v>
      </c>
      <c r="O48" s="3">
        <f>VALUE(RIGHT(F48,1))</f>
        <v>2</v>
      </c>
    </row>
    <row r="49" ht="76" customHeight="1" spans="1:15" x14ac:dyDescent="0.25">
      <c r="A49" s="3" t="s">
        <v>139</v>
      </c>
      <c r="B49" s="4" t="s">
        <v>82</v>
      </c>
      <c r="C49" s="4" t="s">
        <v>134</v>
      </c>
      <c r="D49" s="3" t="s">
        <v>76</v>
      </c>
      <c r="E49" s="4" t="s">
        <v>140</v>
      </c>
      <c r="F49" s="3" t="s">
        <v>8</v>
      </c>
      <c r="G49" s="3" t="s">
        <v>23</v>
      </c>
      <c r="H49" s="3" t="s">
        <v>23</v>
      </c>
      <c r="I49" s="3" t="s">
        <v>20</v>
      </c>
      <c r="J49" s="4" t="s">
        <v>136</v>
      </c>
      <c r="K49" s="5" t="s">
        <v>22</v>
      </c>
      <c r="L49" s="6" t="s">
        <v>23</v>
      </c>
      <c r="M49" s="6" t="s">
        <v>23</v>
      </c>
      <c r="N49" s="6" t="s">
        <v>23</v>
      </c>
      <c r="O49" s="3">
        <f>VALUE(RIGHT(F49,1))</f>
        <v>3</v>
      </c>
    </row>
    <row r="50" ht="62" customHeight="1" spans="1:15" x14ac:dyDescent="0.25">
      <c r="A50" s="3" t="s">
        <v>141</v>
      </c>
      <c r="B50" s="4" t="s">
        <v>82</v>
      </c>
      <c r="C50" s="4" t="s">
        <v>142</v>
      </c>
      <c r="D50" s="3" t="s">
        <v>32</v>
      </c>
      <c r="E50" s="4" t="s">
        <v>143</v>
      </c>
      <c r="F50" s="3" t="s">
        <v>6</v>
      </c>
      <c r="G50" s="3" t="s">
        <v>20</v>
      </c>
      <c r="H50" s="3" t="s">
        <v>20</v>
      </c>
      <c r="I50" s="3" t="s">
        <v>20</v>
      </c>
      <c r="J50" s="4" t="s">
        <v>144</v>
      </c>
      <c r="K50" s="5" t="s">
        <v>22</v>
      </c>
      <c r="L50" s="6" t="s">
        <v>23</v>
      </c>
      <c r="M50" s="6" t="s">
        <v>23</v>
      </c>
      <c r="N50" s="6" t="s">
        <v>23</v>
      </c>
      <c r="O50" s="3">
        <f>VALUE(RIGHT(F50,1))</f>
        <v>1</v>
      </c>
    </row>
    <row r="51" ht="62" customHeight="1" spans="1:15" x14ac:dyDescent="0.25">
      <c r="A51" s="3" t="s">
        <v>145</v>
      </c>
      <c r="B51" s="4" t="s">
        <v>82</v>
      </c>
      <c r="C51" s="4" t="s">
        <v>142</v>
      </c>
      <c r="D51" s="3" t="s">
        <v>111</v>
      </c>
      <c r="E51" s="4" t="s">
        <v>146</v>
      </c>
      <c r="F51" s="3" t="s">
        <v>6</v>
      </c>
      <c r="G51" s="3" t="s">
        <v>20</v>
      </c>
      <c r="H51" s="3" t="s">
        <v>20</v>
      </c>
      <c r="I51" s="3" t="s">
        <v>20</v>
      </c>
      <c r="J51" s="4" t="s">
        <v>144</v>
      </c>
      <c r="K51" s="5" t="s">
        <v>22</v>
      </c>
      <c r="L51" s="6" t="s">
        <v>23</v>
      </c>
      <c r="M51" s="6" t="s">
        <v>23</v>
      </c>
      <c r="N51" s="6" t="s">
        <v>23</v>
      </c>
      <c r="O51" s="3">
        <f>VALUE(RIGHT(F51,1))</f>
        <v>1</v>
      </c>
    </row>
    <row r="52" ht="62" customHeight="1" spans="1:15" x14ac:dyDescent="0.25">
      <c r="A52" s="3" t="s">
        <v>147</v>
      </c>
      <c r="B52" s="4" t="s">
        <v>82</v>
      </c>
      <c r="C52" s="4" t="s">
        <v>142</v>
      </c>
      <c r="D52" s="3" t="s">
        <v>79</v>
      </c>
      <c r="E52" s="4" t="s">
        <v>148</v>
      </c>
      <c r="F52" s="3" t="s">
        <v>7</v>
      </c>
      <c r="G52" s="3" t="s">
        <v>23</v>
      </c>
      <c r="H52" s="3" t="s">
        <v>20</v>
      </c>
      <c r="I52" s="3" t="s">
        <v>20</v>
      </c>
      <c r="J52" s="4" t="s">
        <v>144</v>
      </c>
      <c r="K52" s="5" t="s">
        <v>22</v>
      </c>
      <c r="L52" s="6" t="s">
        <v>23</v>
      </c>
      <c r="M52" s="6" t="s">
        <v>23</v>
      </c>
      <c r="N52" s="6" t="s">
        <v>23</v>
      </c>
      <c r="O52" s="3">
        <f>VALUE(RIGHT(F52,1))</f>
        <v>2</v>
      </c>
    </row>
    <row r="53" ht="62" customHeight="1" spans="1:15" x14ac:dyDescent="0.25">
      <c r="A53" s="3" t="s">
        <v>149</v>
      </c>
      <c r="B53" s="4" t="s">
        <v>150</v>
      </c>
      <c r="C53" s="4" t="s">
        <v>151</v>
      </c>
      <c r="D53" s="3" t="s">
        <v>76</v>
      </c>
      <c r="E53" s="4" t="s">
        <v>152</v>
      </c>
      <c r="F53" s="3" t="s">
        <v>6</v>
      </c>
      <c r="G53" s="3" t="s">
        <v>20</v>
      </c>
      <c r="H53" s="3" t="s">
        <v>20</v>
      </c>
      <c r="I53" s="3" t="s">
        <v>20</v>
      </c>
      <c r="J53" s="4" t="s">
        <v>21</v>
      </c>
      <c r="K53" s="5" t="s">
        <v>22</v>
      </c>
      <c r="L53" s="6" t="s">
        <v>23</v>
      </c>
      <c r="M53" s="6" t="s">
        <v>23</v>
      </c>
      <c r="N53" s="6" t="s">
        <v>23</v>
      </c>
      <c r="O53" s="3">
        <f>VALUE(RIGHT(F53,1))</f>
        <v>1</v>
      </c>
    </row>
    <row r="54" ht="48" customHeight="1" spans="1:15" x14ac:dyDescent="0.25">
      <c r="A54" s="3" t="s">
        <v>153</v>
      </c>
      <c r="B54" s="4" t="s">
        <v>150</v>
      </c>
      <c r="C54" s="4" t="s">
        <v>151</v>
      </c>
      <c r="D54" s="3" t="s">
        <v>76</v>
      </c>
      <c r="E54" s="4" t="s">
        <v>154</v>
      </c>
      <c r="F54" s="3" t="s">
        <v>6</v>
      </c>
      <c r="G54" s="3" t="s">
        <v>20</v>
      </c>
      <c r="H54" s="3" t="s">
        <v>20</v>
      </c>
      <c r="I54" s="3" t="s">
        <v>20</v>
      </c>
      <c r="J54" s="4" t="s">
        <v>21</v>
      </c>
      <c r="K54" s="5" t="s">
        <v>22</v>
      </c>
      <c r="L54" s="6" t="s">
        <v>23</v>
      </c>
      <c r="M54" s="6" t="s">
        <v>23</v>
      </c>
      <c r="N54" s="6" t="s">
        <v>23</v>
      </c>
      <c r="O54" s="3">
        <f>VALUE(RIGHT(F54,1))</f>
        <v>1</v>
      </c>
    </row>
    <row r="55" ht="62" customHeight="1" spans="1:15" x14ac:dyDescent="0.25">
      <c r="A55" s="3" t="s">
        <v>155</v>
      </c>
      <c r="B55" s="4" t="s">
        <v>150</v>
      </c>
      <c r="C55" s="4" t="s">
        <v>151</v>
      </c>
      <c r="D55" s="3" t="s">
        <v>76</v>
      </c>
      <c r="E55" s="4" t="s">
        <v>156</v>
      </c>
      <c r="F55" s="3" t="s">
        <v>6</v>
      </c>
      <c r="G55" s="3" t="s">
        <v>20</v>
      </c>
      <c r="H55" s="3" t="s">
        <v>20</v>
      </c>
      <c r="I55" s="3" t="s">
        <v>20</v>
      </c>
      <c r="J55" s="4" t="s">
        <v>21</v>
      </c>
      <c r="K55" s="5" t="s">
        <v>22</v>
      </c>
      <c r="L55" s="6" t="s">
        <v>23</v>
      </c>
      <c r="M55" s="6" t="s">
        <v>23</v>
      </c>
      <c r="N55" s="6" t="s">
        <v>23</v>
      </c>
      <c r="O55" s="3">
        <f>VALUE(RIGHT(F55,1))</f>
        <v>1</v>
      </c>
    </row>
    <row r="56" ht="48" customHeight="1" spans="1:15" x14ac:dyDescent="0.25">
      <c r="A56" s="3" t="s">
        <v>157</v>
      </c>
      <c r="B56" s="4" t="s">
        <v>150</v>
      </c>
      <c r="C56" s="4" t="s">
        <v>151</v>
      </c>
      <c r="D56" s="3" t="s">
        <v>76</v>
      </c>
      <c r="E56" s="4" t="s">
        <v>158</v>
      </c>
      <c r="F56" s="3" t="s">
        <v>7</v>
      </c>
      <c r="G56" s="3" t="s">
        <v>23</v>
      </c>
      <c r="H56" s="3" t="s">
        <v>20</v>
      </c>
      <c r="I56" s="3" t="s">
        <v>20</v>
      </c>
      <c r="J56" s="4" t="s">
        <v>21</v>
      </c>
      <c r="K56" s="5" t="s">
        <v>22</v>
      </c>
      <c r="L56" s="6" t="s">
        <v>23</v>
      </c>
      <c r="M56" s="6" t="s">
        <v>23</v>
      </c>
      <c r="N56" s="6" t="s">
        <v>23</v>
      </c>
      <c r="O56" s="3">
        <f>VALUE(RIGHT(F56,1))</f>
        <v>2</v>
      </c>
    </row>
    <row r="57" ht="90" customHeight="1" spans="1:15" x14ac:dyDescent="0.25">
      <c r="A57" s="3" t="s">
        <v>159</v>
      </c>
      <c r="B57" s="4" t="s">
        <v>150</v>
      </c>
      <c r="C57" s="4" t="s">
        <v>160</v>
      </c>
      <c r="D57" s="3" t="s">
        <v>62</v>
      </c>
      <c r="E57" s="4" t="s">
        <v>161</v>
      </c>
      <c r="F57" s="3" t="s">
        <v>6</v>
      </c>
      <c r="G57" s="3" t="s">
        <v>20</v>
      </c>
      <c r="H57" s="3" t="s">
        <v>20</v>
      </c>
      <c r="I57" s="3" t="s">
        <v>20</v>
      </c>
      <c r="J57" s="4" t="s">
        <v>21</v>
      </c>
      <c r="K57" s="5" t="s">
        <v>22</v>
      </c>
      <c r="L57" s="6" t="s">
        <v>23</v>
      </c>
      <c r="M57" s="6" t="s">
        <v>23</v>
      </c>
      <c r="N57" s="6" t="s">
        <v>23</v>
      </c>
      <c r="O57" s="3">
        <f>VALUE(RIGHT(F57,1))</f>
        <v>1</v>
      </c>
    </row>
    <row r="58" ht="62" customHeight="1" spans="1:15" x14ac:dyDescent="0.25">
      <c r="A58" s="3" t="s">
        <v>162</v>
      </c>
      <c r="B58" s="4" t="s">
        <v>150</v>
      </c>
      <c r="C58" s="4" t="s">
        <v>160</v>
      </c>
      <c r="D58" s="3" t="s">
        <v>62</v>
      </c>
      <c r="E58" s="4" t="s">
        <v>163</v>
      </c>
      <c r="F58" s="3" t="s">
        <v>7</v>
      </c>
      <c r="G58" s="3" t="s">
        <v>23</v>
      </c>
      <c r="H58" s="3" t="s">
        <v>20</v>
      </c>
      <c r="I58" s="3" t="s">
        <v>20</v>
      </c>
      <c r="J58" s="4" t="s">
        <v>21</v>
      </c>
      <c r="K58" s="5" t="s">
        <v>22</v>
      </c>
      <c r="L58" s="6" t="s">
        <v>23</v>
      </c>
      <c r="M58" s="6" t="s">
        <v>23</v>
      </c>
      <c r="N58" s="6" t="s">
        <v>23</v>
      </c>
      <c r="O58" s="3">
        <f>VALUE(RIGHT(F58,1))</f>
        <v>2</v>
      </c>
    </row>
    <row r="59" ht="48" customHeight="1" spans="1:15" x14ac:dyDescent="0.25">
      <c r="A59" s="3" t="s">
        <v>164</v>
      </c>
      <c r="B59" s="4" t="s">
        <v>150</v>
      </c>
      <c r="C59" s="4" t="s">
        <v>160</v>
      </c>
      <c r="D59" s="3" t="s">
        <v>62</v>
      </c>
      <c r="E59" s="4" t="s">
        <v>165</v>
      </c>
      <c r="F59" s="3" t="s">
        <v>7</v>
      </c>
      <c r="G59" s="3" t="s">
        <v>23</v>
      </c>
      <c r="H59" s="3" t="s">
        <v>20</v>
      </c>
      <c r="I59" s="3" t="s">
        <v>20</v>
      </c>
      <c r="J59" s="4" t="s">
        <v>21</v>
      </c>
      <c r="K59" s="5" t="s">
        <v>22</v>
      </c>
      <c r="L59" s="6" t="s">
        <v>23</v>
      </c>
      <c r="M59" s="6" t="s">
        <v>23</v>
      </c>
      <c r="N59" s="6" t="s">
        <v>23</v>
      </c>
      <c r="O59" s="3">
        <f>VALUE(RIGHT(F59,1))</f>
        <v>2</v>
      </c>
    </row>
    <row r="60" ht="48" customHeight="1" spans="1:15" x14ac:dyDescent="0.25">
      <c r="A60" s="3" t="s">
        <v>166</v>
      </c>
      <c r="B60" s="4" t="s">
        <v>150</v>
      </c>
      <c r="C60" s="4" t="s">
        <v>160</v>
      </c>
      <c r="D60" s="3" t="s">
        <v>62</v>
      </c>
      <c r="E60" s="4" t="s">
        <v>167</v>
      </c>
      <c r="F60" s="3" t="s">
        <v>6</v>
      </c>
      <c r="G60" s="3" t="s">
        <v>20</v>
      </c>
      <c r="H60" s="3" t="s">
        <v>20</v>
      </c>
      <c r="I60" s="3" t="s">
        <v>20</v>
      </c>
      <c r="J60" s="4" t="s">
        <v>21</v>
      </c>
      <c r="K60" s="5" t="s">
        <v>22</v>
      </c>
      <c r="L60" s="6" t="s">
        <v>23</v>
      </c>
      <c r="M60" s="6" t="s">
        <v>23</v>
      </c>
      <c r="N60" s="6" t="s">
        <v>23</v>
      </c>
      <c r="O60" s="3">
        <f>VALUE(RIGHT(F60,1))</f>
        <v>1</v>
      </c>
    </row>
    <row r="61" ht="62" customHeight="1" spans="1:15" x14ac:dyDescent="0.25">
      <c r="A61" s="3" t="s">
        <v>168</v>
      </c>
      <c r="B61" s="4" t="s">
        <v>150</v>
      </c>
      <c r="C61" s="4" t="s">
        <v>160</v>
      </c>
      <c r="D61" s="3" t="s">
        <v>76</v>
      </c>
      <c r="E61" s="4" t="s">
        <v>169</v>
      </c>
      <c r="F61" s="3" t="s">
        <v>8</v>
      </c>
      <c r="G61" s="3" t="s">
        <v>23</v>
      </c>
      <c r="H61" s="3" t="s">
        <v>23</v>
      </c>
      <c r="I61" s="3" t="s">
        <v>20</v>
      </c>
      <c r="J61" s="4" t="s">
        <v>21</v>
      </c>
      <c r="K61" s="5" t="s">
        <v>22</v>
      </c>
      <c r="L61" s="6" t="s">
        <v>23</v>
      </c>
      <c r="M61" s="6" t="s">
        <v>23</v>
      </c>
      <c r="N61" s="6" t="s">
        <v>23</v>
      </c>
      <c r="O61" s="3">
        <f>VALUE(RIGHT(F61,1))</f>
        <v>3</v>
      </c>
    </row>
    <row r="62" ht="48" customHeight="1" spans="1:15" x14ac:dyDescent="0.25">
      <c r="A62" s="3" t="s">
        <v>170</v>
      </c>
      <c r="B62" s="4" t="s">
        <v>150</v>
      </c>
      <c r="C62" s="4" t="s">
        <v>171</v>
      </c>
      <c r="D62" s="3" t="s">
        <v>62</v>
      </c>
      <c r="E62" s="4" t="s">
        <v>172</v>
      </c>
      <c r="F62" s="3" t="s">
        <v>7</v>
      </c>
      <c r="G62" s="3" t="s">
        <v>23</v>
      </c>
      <c r="H62" s="3" t="s">
        <v>20</v>
      </c>
      <c r="I62" s="3" t="s">
        <v>20</v>
      </c>
      <c r="J62" s="4" t="s">
        <v>21</v>
      </c>
      <c r="K62" s="5" t="s">
        <v>22</v>
      </c>
      <c r="L62" s="6" t="s">
        <v>23</v>
      </c>
      <c r="M62" s="6" t="s">
        <v>23</v>
      </c>
      <c r="N62" s="6" t="s">
        <v>23</v>
      </c>
      <c r="O62" s="3">
        <f>VALUE(RIGHT(F62,1))</f>
        <v>2</v>
      </c>
    </row>
    <row r="63" ht="34" customHeight="1" spans="1:15" x14ac:dyDescent="0.25">
      <c r="A63" s="3" t="s">
        <v>173</v>
      </c>
      <c r="B63" s="4" t="s">
        <v>150</v>
      </c>
      <c r="C63" s="4" t="s">
        <v>171</v>
      </c>
      <c r="D63" s="3" t="s">
        <v>62</v>
      </c>
      <c r="E63" s="4" t="s">
        <v>174</v>
      </c>
      <c r="F63" s="3" t="s">
        <v>7</v>
      </c>
      <c r="G63" s="3" t="s">
        <v>23</v>
      </c>
      <c r="H63" s="3" t="s">
        <v>20</v>
      </c>
      <c r="I63" s="3" t="s">
        <v>20</v>
      </c>
      <c r="J63" s="4" t="s">
        <v>21</v>
      </c>
      <c r="K63" s="5" t="s">
        <v>22</v>
      </c>
      <c r="L63" s="6" t="s">
        <v>23</v>
      </c>
      <c r="M63" s="6" t="s">
        <v>23</v>
      </c>
      <c r="N63" s="6" t="s">
        <v>23</v>
      </c>
      <c r="O63" s="3">
        <f>VALUE(RIGHT(F63,1))</f>
        <v>2</v>
      </c>
    </row>
    <row r="64" ht="62" customHeight="1" spans="1:15" x14ac:dyDescent="0.25">
      <c r="A64" s="3" t="s">
        <v>175</v>
      </c>
      <c r="B64" s="4" t="s">
        <v>150</v>
      </c>
      <c r="C64" s="4" t="s">
        <v>176</v>
      </c>
      <c r="D64" s="3" t="s">
        <v>62</v>
      </c>
      <c r="E64" s="4" t="s">
        <v>177</v>
      </c>
      <c r="F64" s="3" t="s">
        <v>6</v>
      </c>
      <c r="G64" s="3" t="s">
        <v>20</v>
      </c>
      <c r="H64" s="3" t="s">
        <v>20</v>
      </c>
      <c r="I64" s="3" t="s">
        <v>20</v>
      </c>
      <c r="J64" s="4" t="s">
        <v>21</v>
      </c>
      <c r="K64" s="5" t="s">
        <v>22</v>
      </c>
      <c r="L64" s="6" t="s">
        <v>23</v>
      </c>
      <c r="M64" s="6" t="s">
        <v>23</v>
      </c>
      <c r="N64" s="6" t="s">
        <v>23</v>
      </c>
      <c r="O64" s="3">
        <f>VALUE(RIGHT(F64,1))</f>
        <v>1</v>
      </c>
    </row>
    <row r="65" ht="48" customHeight="1" spans="1:15" x14ac:dyDescent="0.25">
      <c r="A65" s="3" t="s">
        <v>178</v>
      </c>
      <c r="B65" s="4" t="s">
        <v>150</v>
      </c>
      <c r="C65" s="4" t="s">
        <v>176</v>
      </c>
      <c r="D65" s="3" t="s">
        <v>62</v>
      </c>
      <c r="E65" s="4" t="s">
        <v>179</v>
      </c>
      <c r="F65" s="3" t="s">
        <v>6</v>
      </c>
      <c r="G65" s="3" t="s">
        <v>20</v>
      </c>
      <c r="H65" s="3" t="s">
        <v>20</v>
      </c>
      <c r="I65" s="3" t="s">
        <v>20</v>
      </c>
      <c r="J65" s="4" t="s">
        <v>21</v>
      </c>
      <c r="K65" s="5" t="s">
        <v>22</v>
      </c>
      <c r="L65" s="6" t="s">
        <v>23</v>
      </c>
      <c r="M65" s="6" t="s">
        <v>23</v>
      </c>
      <c r="N65" s="6" t="s">
        <v>23</v>
      </c>
      <c r="O65" s="3">
        <f>VALUE(RIGHT(F65,1))</f>
        <v>1</v>
      </c>
    </row>
    <row r="66" ht="76" customHeight="1" spans="1:15" x14ac:dyDescent="0.25">
      <c r="A66" s="3" t="s">
        <v>180</v>
      </c>
      <c r="B66" s="4" t="s">
        <v>150</v>
      </c>
      <c r="C66" s="4" t="s">
        <v>176</v>
      </c>
      <c r="D66" s="3" t="s">
        <v>62</v>
      </c>
      <c r="E66" s="4" t="s">
        <v>181</v>
      </c>
      <c r="F66" s="3" t="s">
        <v>6</v>
      </c>
      <c r="G66" s="3" t="s">
        <v>20</v>
      </c>
      <c r="H66" s="3" t="s">
        <v>20</v>
      </c>
      <c r="I66" s="3" t="s">
        <v>20</v>
      </c>
      <c r="J66" s="4" t="s">
        <v>21</v>
      </c>
      <c r="K66" s="5" t="s">
        <v>22</v>
      </c>
      <c r="L66" s="6" t="s">
        <v>23</v>
      </c>
      <c r="M66" s="6" t="s">
        <v>23</v>
      </c>
      <c r="N66" s="6" t="s">
        <v>23</v>
      </c>
      <c r="O66" s="3">
        <f>VALUE(RIGHT(F66,1))</f>
        <v>1</v>
      </c>
    </row>
    <row r="67" ht="48" customHeight="1" spans="1:15" x14ac:dyDescent="0.25">
      <c r="A67" s="3" t="s">
        <v>182</v>
      </c>
      <c r="B67" s="4" t="s">
        <v>150</v>
      </c>
      <c r="C67" s="4" t="s">
        <v>176</v>
      </c>
      <c r="D67" s="3" t="s">
        <v>62</v>
      </c>
      <c r="E67" s="4" t="s">
        <v>183</v>
      </c>
      <c r="F67" s="3" t="s">
        <v>7</v>
      </c>
      <c r="G67" s="3" t="s">
        <v>23</v>
      </c>
      <c r="H67" s="3" t="s">
        <v>20</v>
      </c>
      <c r="I67" s="3" t="s">
        <v>20</v>
      </c>
      <c r="J67" s="4" t="s">
        <v>21</v>
      </c>
      <c r="K67" s="5" t="s">
        <v>22</v>
      </c>
      <c r="L67" s="6" t="s">
        <v>23</v>
      </c>
      <c r="M67" s="6" t="s">
        <v>23</v>
      </c>
      <c r="N67" s="6" t="s">
        <v>23</v>
      </c>
      <c r="O67" s="3">
        <f>VALUE(RIGHT(F67,1))</f>
        <v>2</v>
      </c>
    </row>
    <row r="68" ht="48" customHeight="1" spans="1:15" x14ac:dyDescent="0.25">
      <c r="A68" s="3" t="s">
        <v>184</v>
      </c>
      <c r="B68" s="4" t="s">
        <v>150</v>
      </c>
      <c r="C68" s="4" t="s">
        <v>176</v>
      </c>
      <c r="D68" s="3" t="s">
        <v>62</v>
      </c>
      <c r="E68" s="4" t="s">
        <v>185</v>
      </c>
      <c r="F68" s="3" t="s">
        <v>7</v>
      </c>
      <c r="G68" s="3" t="s">
        <v>23</v>
      </c>
      <c r="H68" s="3" t="s">
        <v>20</v>
      </c>
      <c r="I68" s="3" t="s">
        <v>20</v>
      </c>
      <c r="J68" s="4" t="s">
        <v>21</v>
      </c>
      <c r="K68" s="5" t="s">
        <v>22</v>
      </c>
      <c r="L68" s="6" t="s">
        <v>23</v>
      </c>
      <c r="M68" s="6" t="s">
        <v>23</v>
      </c>
      <c r="N68" s="6" t="s">
        <v>23</v>
      </c>
      <c r="O68" s="3">
        <f>VALUE(RIGHT(F68,1))</f>
        <v>2</v>
      </c>
    </row>
    <row r="69" ht="76" customHeight="1" spans="1:15" x14ac:dyDescent="0.25">
      <c r="A69" s="3" t="s">
        <v>186</v>
      </c>
      <c r="B69" s="4" t="s">
        <v>150</v>
      </c>
      <c r="C69" s="4" t="s">
        <v>176</v>
      </c>
      <c r="D69" s="3" t="s">
        <v>76</v>
      </c>
      <c r="E69" s="4" t="s">
        <v>187</v>
      </c>
      <c r="F69" s="3" t="s">
        <v>7</v>
      </c>
      <c r="G69" s="3" t="s">
        <v>23</v>
      </c>
      <c r="H69" s="3" t="s">
        <v>20</v>
      </c>
      <c r="I69" s="3" t="s">
        <v>20</v>
      </c>
      <c r="J69" s="4" t="s">
        <v>21</v>
      </c>
      <c r="K69" s="5" t="s">
        <v>22</v>
      </c>
      <c r="L69" s="6" t="s">
        <v>23</v>
      </c>
      <c r="M69" s="6" t="s">
        <v>23</v>
      </c>
      <c r="N69" s="6" t="s">
        <v>23</v>
      </c>
      <c r="O69" s="3">
        <f>VALUE(RIGHT(F69,1))</f>
        <v>2</v>
      </c>
    </row>
    <row r="70" ht="48" customHeight="1" spans="1:15" x14ac:dyDescent="0.25">
      <c r="A70" s="3" t="s">
        <v>188</v>
      </c>
      <c r="B70" s="4" t="s">
        <v>150</v>
      </c>
      <c r="C70" s="4" t="s">
        <v>189</v>
      </c>
      <c r="D70" s="3" t="s">
        <v>18</v>
      </c>
      <c r="E70" s="4" t="s">
        <v>190</v>
      </c>
      <c r="F70" s="3" t="s">
        <v>7</v>
      </c>
      <c r="G70" s="3" t="s">
        <v>23</v>
      </c>
      <c r="H70" s="3" t="s">
        <v>20</v>
      </c>
      <c r="I70" s="3" t="s">
        <v>20</v>
      </c>
      <c r="J70" s="4" t="s">
        <v>21</v>
      </c>
      <c r="K70" s="5" t="s">
        <v>22</v>
      </c>
      <c r="L70" s="6" t="s">
        <v>23</v>
      </c>
      <c r="M70" s="6" t="s">
        <v>23</v>
      </c>
      <c r="N70" s="6" t="s">
        <v>23</v>
      </c>
      <c r="O70" s="3">
        <f>VALUE(RIGHT(F70,1))</f>
        <v>2</v>
      </c>
    </row>
    <row r="71" ht="62" customHeight="1" spans="1:15" x14ac:dyDescent="0.25">
      <c r="A71" s="3" t="s">
        <v>191</v>
      </c>
      <c r="B71" s="4" t="s">
        <v>150</v>
      </c>
      <c r="C71" s="4" t="s">
        <v>189</v>
      </c>
      <c r="D71" s="3" t="s">
        <v>76</v>
      </c>
      <c r="E71" s="4" t="s">
        <v>192</v>
      </c>
      <c r="F71" s="3" t="s">
        <v>8</v>
      </c>
      <c r="G71" s="3" t="s">
        <v>23</v>
      </c>
      <c r="H71" s="3" t="s">
        <v>23</v>
      </c>
      <c r="I71" s="3" t="s">
        <v>20</v>
      </c>
      <c r="J71" s="4" t="s">
        <v>21</v>
      </c>
      <c r="K71" s="5" t="s">
        <v>22</v>
      </c>
      <c r="L71" s="6" t="s">
        <v>23</v>
      </c>
      <c r="M71" s="6" t="s">
        <v>23</v>
      </c>
      <c r="N71" s="6" t="s">
        <v>23</v>
      </c>
      <c r="O71" s="3">
        <f>VALUE(RIGHT(F71,1))</f>
        <v>3</v>
      </c>
    </row>
    <row r="72" ht="48" customHeight="1" spans="1:15" x14ac:dyDescent="0.25">
      <c r="A72" s="3" t="s">
        <v>193</v>
      </c>
      <c r="B72" s="4" t="s">
        <v>150</v>
      </c>
      <c r="C72" s="4" t="s">
        <v>194</v>
      </c>
      <c r="D72" s="3" t="s">
        <v>111</v>
      </c>
      <c r="E72" s="4" t="s">
        <v>195</v>
      </c>
      <c r="F72" s="3" t="s">
        <v>7</v>
      </c>
      <c r="G72" s="3" t="s">
        <v>23</v>
      </c>
      <c r="H72" s="3" t="s">
        <v>20</v>
      </c>
      <c r="I72" s="3" t="s">
        <v>20</v>
      </c>
      <c r="J72" s="4" t="s">
        <v>21</v>
      </c>
      <c r="K72" s="5" t="s">
        <v>22</v>
      </c>
      <c r="L72" s="6" t="s">
        <v>23</v>
      </c>
      <c r="M72" s="6" t="s">
        <v>23</v>
      </c>
      <c r="N72" s="6" t="s">
        <v>23</v>
      </c>
      <c r="O72" s="3">
        <f>VALUE(RIGHT(F72,1))</f>
        <v>2</v>
      </c>
    </row>
    <row r="73" ht="62" customHeight="1" spans="1:15" x14ac:dyDescent="0.25">
      <c r="A73" s="3" t="s">
        <v>196</v>
      </c>
      <c r="B73" s="4" t="s">
        <v>150</v>
      </c>
      <c r="C73" s="4" t="s">
        <v>194</v>
      </c>
      <c r="D73" s="3" t="s">
        <v>76</v>
      </c>
      <c r="E73" s="4" t="s">
        <v>197</v>
      </c>
      <c r="F73" s="3" t="s">
        <v>7</v>
      </c>
      <c r="G73" s="3" t="s">
        <v>23</v>
      </c>
      <c r="H73" s="3" t="s">
        <v>20</v>
      </c>
      <c r="I73" s="3" t="s">
        <v>20</v>
      </c>
      <c r="J73" s="4" t="s">
        <v>21</v>
      </c>
      <c r="K73" s="5" t="s">
        <v>22</v>
      </c>
      <c r="L73" s="6" t="s">
        <v>23</v>
      </c>
      <c r="M73" s="6" t="s">
        <v>23</v>
      </c>
      <c r="N73" s="6" t="s">
        <v>23</v>
      </c>
      <c r="O73" s="3">
        <f>VALUE(RIGHT(F73,1))</f>
        <v>2</v>
      </c>
    </row>
    <row r="74" ht="48" customHeight="1" spans="1:15" x14ac:dyDescent="0.25">
      <c r="A74" s="3" t="s">
        <v>198</v>
      </c>
      <c r="B74" s="4" t="s">
        <v>150</v>
      </c>
      <c r="C74" s="4" t="s">
        <v>199</v>
      </c>
      <c r="D74" s="3" t="s">
        <v>62</v>
      </c>
      <c r="E74" s="4" t="s">
        <v>200</v>
      </c>
      <c r="F74" s="3" t="s">
        <v>6</v>
      </c>
      <c r="G74" s="3" t="s">
        <v>20</v>
      </c>
      <c r="H74" s="3" t="s">
        <v>20</v>
      </c>
      <c r="I74" s="3" t="s">
        <v>20</v>
      </c>
      <c r="J74" s="4" t="s">
        <v>21</v>
      </c>
      <c r="K74" s="5" t="s">
        <v>22</v>
      </c>
      <c r="L74" s="6" t="s">
        <v>23</v>
      </c>
      <c r="M74" s="6" t="s">
        <v>23</v>
      </c>
      <c r="N74" s="6" t="s">
        <v>23</v>
      </c>
      <c r="O74" s="3">
        <f>VALUE(RIGHT(F74,1))</f>
        <v>1</v>
      </c>
    </row>
    <row r="75" ht="48" customHeight="1" spans="1:15" x14ac:dyDescent="0.25">
      <c r="A75" s="3" t="s">
        <v>201</v>
      </c>
      <c r="B75" s="4" t="s">
        <v>150</v>
      </c>
      <c r="C75" s="4" t="s">
        <v>199</v>
      </c>
      <c r="D75" s="3" t="s">
        <v>111</v>
      </c>
      <c r="E75" s="4" t="s">
        <v>202</v>
      </c>
      <c r="F75" s="3" t="s">
        <v>7</v>
      </c>
      <c r="G75" s="3" t="s">
        <v>23</v>
      </c>
      <c r="H75" s="3" t="s">
        <v>20</v>
      </c>
      <c r="I75" s="3" t="s">
        <v>20</v>
      </c>
      <c r="J75" s="4" t="s">
        <v>21</v>
      </c>
      <c r="K75" s="5" t="s">
        <v>22</v>
      </c>
      <c r="L75" s="6" t="s">
        <v>23</v>
      </c>
      <c r="M75" s="6" t="s">
        <v>23</v>
      </c>
      <c r="N75" s="6" t="s">
        <v>23</v>
      </c>
      <c r="O75" s="3">
        <f>VALUE(RIGHT(F75,1))</f>
        <v>2</v>
      </c>
    </row>
    <row r="76" ht="34" customHeight="1" spans="1:15" x14ac:dyDescent="0.25">
      <c r="A76" s="3" t="s">
        <v>203</v>
      </c>
      <c r="B76" s="4" t="s">
        <v>150</v>
      </c>
      <c r="C76" s="4" t="s">
        <v>204</v>
      </c>
      <c r="D76" s="3" t="s">
        <v>65</v>
      </c>
      <c r="E76" s="4" t="s">
        <v>205</v>
      </c>
      <c r="F76" s="3" t="s">
        <v>7</v>
      </c>
      <c r="G76" s="3" t="s">
        <v>23</v>
      </c>
      <c r="H76" s="3" t="s">
        <v>20</v>
      </c>
      <c r="I76" s="3" t="s">
        <v>20</v>
      </c>
      <c r="J76" s="4" t="s">
        <v>21</v>
      </c>
      <c r="K76" s="5" t="s">
        <v>22</v>
      </c>
      <c r="L76" s="6" t="s">
        <v>23</v>
      </c>
      <c r="M76" s="6" t="s">
        <v>23</v>
      </c>
      <c r="N76" s="6" t="s">
        <v>23</v>
      </c>
      <c r="O76" s="3">
        <f>VALUE(RIGHT(F76,1))</f>
        <v>2</v>
      </c>
    </row>
    <row r="77" ht="34" customHeight="1" spans="1:15" x14ac:dyDescent="0.25">
      <c r="A77" s="3" t="s">
        <v>206</v>
      </c>
      <c r="B77" s="4" t="s">
        <v>150</v>
      </c>
      <c r="C77" s="4" t="s">
        <v>204</v>
      </c>
      <c r="D77" s="3" t="s">
        <v>65</v>
      </c>
      <c r="E77" s="4" t="s">
        <v>207</v>
      </c>
      <c r="F77" s="3" t="s">
        <v>7</v>
      </c>
      <c r="G77" s="3" t="s">
        <v>23</v>
      </c>
      <c r="H77" s="3" t="s">
        <v>20</v>
      </c>
      <c r="I77" s="3" t="s">
        <v>20</v>
      </c>
      <c r="J77" s="4" t="s">
        <v>21</v>
      </c>
      <c r="K77" s="5" t="s">
        <v>22</v>
      </c>
      <c r="L77" s="6" t="s">
        <v>23</v>
      </c>
      <c r="M77" s="6" t="s">
        <v>23</v>
      </c>
      <c r="N77" s="6" t="s">
        <v>23</v>
      </c>
      <c r="O77" s="3">
        <f>VALUE(RIGHT(F77,1))</f>
        <v>2</v>
      </c>
    </row>
    <row r="78" ht="48" customHeight="1" spans="1:15" x14ac:dyDescent="0.25">
      <c r="A78" s="3" t="s">
        <v>208</v>
      </c>
      <c r="B78" s="4" t="s">
        <v>150</v>
      </c>
      <c r="C78" s="4" t="s">
        <v>204</v>
      </c>
      <c r="D78" s="3" t="s">
        <v>62</v>
      </c>
      <c r="E78" s="4" t="s">
        <v>209</v>
      </c>
      <c r="F78" s="3" t="s">
        <v>7</v>
      </c>
      <c r="G78" s="3" t="s">
        <v>23</v>
      </c>
      <c r="H78" s="3" t="s">
        <v>20</v>
      </c>
      <c r="I78" s="3" t="s">
        <v>20</v>
      </c>
      <c r="J78" s="4" t="s">
        <v>21</v>
      </c>
      <c r="K78" s="5" t="s">
        <v>22</v>
      </c>
      <c r="L78" s="6" t="s">
        <v>23</v>
      </c>
      <c r="M78" s="6" t="s">
        <v>23</v>
      </c>
      <c r="N78" s="6" t="s">
        <v>23</v>
      </c>
      <c r="O78" s="3">
        <f>VALUE(RIGHT(F78,1))</f>
        <v>2</v>
      </c>
    </row>
    <row r="79" ht="76" customHeight="1" spans="1:15" x14ac:dyDescent="0.25">
      <c r="A79" s="3" t="s">
        <v>210</v>
      </c>
      <c r="B79" s="4" t="s">
        <v>150</v>
      </c>
      <c r="C79" s="4" t="s">
        <v>204</v>
      </c>
      <c r="D79" s="3" t="s">
        <v>62</v>
      </c>
      <c r="E79" s="4" t="s">
        <v>211</v>
      </c>
      <c r="F79" s="3" t="s">
        <v>7</v>
      </c>
      <c r="G79" s="3" t="s">
        <v>23</v>
      </c>
      <c r="H79" s="3" t="s">
        <v>20</v>
      </c>
      <c r="I79" s="3" t="s">
        <v>20</v>
      </c>
      <c r="J79" s="4" t="s">
        <v>21</v>
      </c>
      <c r="K79" s="5" t="s">
        <v>22</v>
      </c>
      <c r="L79" s="6" t="s">
        <v>23</v>
      </c>
      <c r="M79" s="6" t="s">
        <v>23</v>
      </c>
      <c r="N79" s="6" t="s">
        <v>23</v>
      </c>
      <c r="O79" s="3">
        <f>VALUE(RIGHT(F79,1))</f>
        <v>2</v>
      </c>
    </row>
    <row r="80" ht="76" customHeight="1" spans="1:15" x14ac:dyDescent="0.25">
      <c r="A80" s="3" t="s">
        <v>212</v>
      </c>
      <c r="B80" s="4" t="s">
        <v>213</v>
      </c>
      <c r="C80" s="4" t="s">
        <v>214</v>
      </c>
      <c r="D80" s="3" t="s">
        <v>65</v>
      </c>
      <c r="E80" s="4" t="s">
        <v>215</v>
      </c>
      <c r="F80" s="3" t="s">
        <v>6</v>
      </c>
      <c r="G80" s="3" t="s">
        <v>20</v>
      </c>
      <c r="H80" s="3" t="s">
        <v>20</v>
      </c>
      <c r="I80" s="3" t="s">
        <v>20</v>
      </c>
      <c r="J80" s="4" t="s">
        <v>21</v>
      </c>
      <c r="K80" s="5" t="s">
        <v>22</v>
      </c>
      <c r="L80" s="6" t="s">
        <v>23</v>
      </c>
      <c r="M80" s="6" t="s">
        <v>23</v>
      </c>
      <c r="N80" s="6" t="s">
        <v>23</v>
      </c>
      <c r="O80" s="3">
        <f>VALUE(RIGHT(F80,1))</f>
        <v>1</v>
      </c>
    </row>
    <row r="81" ht="48" customHeight="1" spans="1:15" x14ac:dyDescent="0.25">
      <c r="A81" s="3" t="s">
        <v>216</v>
      </c>
      <c r="B81" s="4" t="s">
        <v>213</v>
      </c>
      <c r="C81" s="4" t="s">
        <v>214</v>
      </c>
      <c r="D81" s="3" t="s">
        <v>65</v>
      </c>
      <c r="E81" s="4" t="s">
        <v>217</v>
      </c>
      <c r="F81" s="3" t="s">
        <v>6</v>
      </c>
      <c r="G81" s="3" t="s">
        <v>20</v>
      </c>
      <c r="H81" s="3" t="s">
        <v>20</v>
      </c>
      <c r="I81" s="3" t="s">
        <v>20</v>
      </c>
      <c r="J81" s="4" t="s">
        <v>21</v>
      </c>
      <c r="K81" s="5" t="s">
        <v>22</v>
      </c>
      <c r="L81" s="6" t="s">
        <v>23</v>
      </c>
      <c r="M81" s="6" t="s">
        <v>23</v>
      </c>
      <c r="N81" s="6" t="s">
        <v>23</v>
      </c>
      <c r="O81" s="3">
        <f>VALUE(RIGHT(F81,1))</f>
        <v>1</v>
      </c>
    </row>
    <row r="82" ht="76" customHeight="1" spans="1:15" x14ac:dyDescent="0.25">
      <c r="A82" s="3" t="s">
        <v>218</v>
      </c>
      <c r="B82" s="4" t="s">
        <v>213</v>
      </c>
      <c r="C82" s="4" t="s">
        <v>214</v>
      </c>
      <c r="D82" s="3" t="s">
        <v>65</v>
      </c>
      <c r="E82" s="4" t="s">
        <v>219</v>
      </c>
      <c r="F82" s="3" t="s">
        <v>7</v>
      </c>
      <c r="G82" s="3" t="s">
        <v>23</v>
      </c>
      <c r="H82" s="3" t="s">
        <v>20</v>
      </c>
      <c r="I82" s="3" t="s">
        <v>20</v>
      </c>
      <c r="J82" s="4" t="s">
        <v>21</v>
      </c>
      <c r="K82" s="5" t="s">
        <v>22</v>
      </c>
      <c r="L82" s="6" t="s">
        <v>23</v>
      </c>
      <c r="M82" s="6" t="s">
        <v>23</v>
      </c>
      <c r="N82" s="6" t="s">
        <v>23</v>
      </c>
      <c r="O82" s="3">
        <f>VALUE(RIGHT(F82,1))</f>
        <v>2</v>
      </c>
    </row>
    <row r="83" ht="48" customHeight="1" spans="1:15" x14ac:dyDescent="0.25">
      <c r="A83" s="3" t="s">
        <v>220</v>
      </c>
      <c r="B83" s="4" t="s">
        <v>213</v>
      </c>
      <c r="C83" s="4" t="s">
        <v>214</v>
      </c>
      <c r="D83" s="3" t="s">
        <v>65</v>
      </c>
      <c r="E83" s="4" t="s">
        <v>221</v>
      </c>
      <c r="F83" s="3" t="s">
        <v>7</v>
      </c>
      <c r="G83" s="3" t="s">
        <v>23</v>
      </c>
      <c r="H83" s="3" t="s">
        <v>20</v>
      </c>
      <c r="I83" s="3" t="s">
        <v>20</v>
      </c>
      <c r="J83" s="4" t="s">
        <v>21</v>
      </c>
      <c r="K83" s="5" t="s">
        <v>22</v>
      </c>
      <c r="L83" s="6" t="s">
        <v>23</v>
      </c>
      <c r="M83" s="6" t="s">
        <v>23</v>
      </c>
      <c r="N83" s="6" t="s">
        <v>23</v>
      </c>
      <c r="O83" s="3">
        <f>VALUE(RIGHT(F83,1))</f>
        <v>2</v>
      </c>
    </row>
    <row r="84" ht="48" customHeight="1" spans="1:15" x14ac:dyDescent="0.25">
      <c r="A84" s="3" t="s">
        <v>222</v>
      </c>
      <c r="B84" s="4" t="s">
        <v>213</v>
      </c>
      <c r="C84" s="4" t="s">
        <v>214</v>
      </c>
      <c r="D84" s="3" t="s">
        <v>65</v>
      </c>
      <c r="E84" s="4" t="s">
        <v>223</v>
      </c>
      <c r="F84" s="3" t="s">
        <v>7</v>
      </c>
      <c r="G84" s="3" t="s">
        <v>23</v>
      </c>
      <c r="H84" s="3" t="s">
        <v>20</v>
      </c>
      <c r="I84" s="3" t="s">
        <v>20</v>
      </c>
      <c r="J84" s="4" t="s">
        <v>21</v>
      </c>
      <c r="K84" s="5" t="s">
        <v>22</v>
      </c>
      <c r="L84" s="6" t="s">
        <v>23</v>
      </c>
      <c r="M84" s="6" t="s">
        <v>23</v>
      </c>
      <c r="N84" s="6" t="s">
        <v>23</v>
      </c>
      <c r="O84" s="3">
        <f>VALUE(RIGHT(F84,1))</f>
        <v>2</v>
      </c>
    </row>
    <row r="85" ht="48" customHeight="1" spans="1:15" x14ac:dyDescent="0.25">
      <c r="A85" s="3" t="s">
        <v>224</v>
      </c>
      <c r="B85" s="4" t="s">
        <v>213</v>
      </c>
      <c r="C85" s="4" t="s">
        <v>214</v>
      </c>
      <c r="D85" s="3" t="s">
        <v>65</v>
      </c>
      <c r="E85" s="4" t="s">
        <v>225</v>
      </c>
      <c r="F85" s="3" t="s">
        <v>7</v>
      </c>
      <c r="G85" s="3" t="s">
        <v>23</v>
      </c>
      <c r="H85" s="3" t="s">
        <v>20</v>
      </c>
      <c r="I85" s="3" t="s">
        <v>20</v>
      </c>
      <c r="J85" s="4" t="s">
        <v>21</v>
      </c>
      <c r="K85" s="5" t="s">
        <v>22</v>
      </c>
      <c r="L85" s="6" t="s">
        <v>23</v>
      </c>
      <c r="M85" s="6" t="s">
        <v>23</v>
      </c>
      <c r="N85" s="6" t="s">
        <v>23</v>
      </c>
      <c r="O85" s="3">
        <f>VALUE(RIGHT(F85,1))</f>
        <v>2</v>
      </c>
    </row>
    <row r="86" ht="62" customHeight="1" spans="1:15" x14ac:dyDescent="0.25">
      <c r="A86" s="3" t="s">
        <v>226</v>
      </c>
      <c r="B86" s="4" t="s">
        <v>213</v>
      </c>
      <c r="C86" s="4" t="s">
        <v>214</v>
      </c>
      <c r="D86" s="3" t="s">
        <v>62</v>
      </c>
      <c r="E86" s="4" t="s">
        <v>227</v>
      </c>
      <c r="F86" s="3" t="s">
        <v>7</v>
      </c>
      <c r="G86" s="3" t="s">
        <v>23</v>
      </c>
      <c r="H86" s="3" t="s">
        <v>20</v>
      </c>
      <c r="I86" s="3" t="s">
        <v>20</v>
      </c>
      <c r="J86" s="4" t="s">
        <v>21</v>
      </c>
      <c r="K86" s="5" t="s">
        <v>22</v>
      </c>
      <c r="L86" s="6" t="s">
        <v>23</v>
      </c>
      <c r="M86" s="6" t="s">
        <v>23</v>
      </c>
      <c r="N86" s="6" t="s">
        <v>23</v>
      </c>
      <c r="O86" s="3">
        <f>VALUE(RIGHT(F86,1))</f>
        <v>2</v>
      </c>
    </row>
    <row r="87" ht="48" customHeight="1" spans="1:15" x14ac:dyDescent="0.25">
      <c r="A87" s="3" t="s">
        <v>228</v>
      </c>
      <c r="B87" s="4" t="s">
        <v>213</v>
      </c>
      <c r="C87" s="4" t="s">
        <v>229</v>
      </c>
      <c r="D87" s="3" t="s">
        <v>65</v>
      </c>
      <c r="E87" s="4" t="s">
        <v>230</v>
      </c>
      <c r="F87" s="3" t="s">
        <v>6</v>
      </c>
      <c r="G87" s="3" t="s">
        <v>20</v>
      </c>
      <c r="H87" s="3" t="s">
        <v>20</v>
      </c>
      <c r="I87" s="3" t="s">
        <v>20</v>
      </c>
      <c r="J87" s="4" t="s">
        <v>21</v>
      </c>
      <c r="K87" s="5" t="s">
        <v>22</v>
      </c>
      <c r="L87" s="6" t="s">
        <v>23</v>
      </c>
      <c r="M87" s="6" t="s">
        <v>23</v>
      </c>
      <c r="N87" s="6" t="s">
        <v>23</v>
      </c>
      <c r="O87" s="3">
        <f>VALUE(RIGHT(F87,1))</f>
        <v>1</v>
      </c>
    </row>
    <row r="88" ht="48" customHeight="1" spans="1:15" x14ac:dyDescent="0.25">
      <c r="A88" s="3" t="s">
        <v>231</v>
      </c>
      <c r="B88" s="4" t="s">
        <v>213</v>
      </c>
      <c r="C88" s="4" t="s">
        <v>229</v>
      </c>
      <c r="D88" s="3" t="s">
        <v>232</v>
      </c>
      <c r="E88" s="4" t="s">
        <v>233</v>
      </c>
      <c r="F88" s="3" t="s">
        <v>6</v>
      </c>
      <c r="G88" s="3" t="s">
        <v>20</v>
      </c>
      <c r="H88" s="3" t="s">
        <v>20</v>
      </c>
      <c r="I88" s="3" t="s">
        <v>20</v>
      </c>
      <c r="J88" s="4" t="s">
        <v>21</v>
      </c>
      <c r="K88" s="5" t="s">
        <v>22</v>
      </c>
      <c r="L88" s="6" t="s">
        <v>23</v>
      </c>
      <c r="M88" s="6" t="s">
        <v>23</v>
      </c>
      <c r="N88" s="6" t="s">
        <v>23</v>
      </c>
      <c r="O88" s="3">
        <f>VALUE(RIGHT(F88,1))</f>
        <v>1</v>
      </c>
    </row>
    <row r="89" ht="48" customHeight="1" spans="1:15" x14ac:dyDescent="0.25">
      <c r="A89" s="3" t="s">
        <v>234</v>
      </c>
      <c r="B89" s="4" t="s">
        <v>213</v>
      </c>
      <c r="C89" s="4" t="s">
        <v>229</v>
      </c>
      <c r="D89" s="3" t="s">
        <v>51</v>
      </c>
      <c r="E89" s="4" t="s">
        <v>235</v>
      </c>
      <c r="F89" s="3" t="s">
        <v>6</v>
      </c>
      <c r="G89" s="3" t="s">
        <v>20</v>
      </c>
      <c r="H89" s="3" t="s">
        <v>20</v>
      </c>
      <c r="I89" s="3" t="s">
        <v>20</v>
      </c>
      <c r="J89" s="4" t="s">
        <v>21</v>
      </c>
      <c r="K89" s="5" t="s">
        <v>22</v>
      </c>
      <c r="L89" s="6" t="s">
        <v>23</v>
      </c>
      <c r="M89" s="6" t="s">
        <v>23</v>
      </c>
      <c r="N89" s="6" t="s">
        <v>23</v>
      </c>
      <c r="O89" s="3">
        <f>VALUE(RIGHT(F89,1))</f>
        <v>1</v>
      </c>
    </row>
    <row r="90" ht="48" customHeight="1" spans="1:15" x14ac:dyDescent="0.25">
      <c r="A90" s="3" t="s">
        <v>236</v>
      </c>
      <c r="B90" s="4" t="s">
        <v>213</v>
      </c>
      <c r="C90" s="4" t="s">
        <v>229</v>
      </c>
      <c r="D90" s="3" t="s">
        <v>232</v>
      </c>
      <c r="E90" s="4" t="s">
        <v>237</v>
      </c>
      <c r="F90" s="3" t="s">
        <v>7</v>
      </c>
      <c r="G90" s="3" t="s">
        <v>23</v>
      </c>
      <c r="H90" s="3" t="s">
        <v>20</v>
      </c>
      <c r="I90" s="3" t="s">
        <v>20</v>
      </c>
      <c r="J90" s="4" t="s">
        <v>21</v>
      </c>
      <c r="K90" s="5" t="s">
        <v>22</v>
      </c>
      <c r="L90" s="6" t="s">
        <v>23</v>
      </c>
      <c r="M90" s="6" t="s">
        <v>23</v>
      </c>
      <c r="N90" s="6" t="s">
        <v>23</v>
      </c>
      <c r="O90" s="3">
        <f>VALUE(RIGHT(F90,1))</f>
        <v>2</v>
      </c>
    </row>
    <row r="91" ht="76" customHeight="1" spans="1:15" x14ac:dyDescent="0.25">
      <c r="A91" s="3" t="s">
        <v>238</v>
      </c>
      <c r="B91" s="4" t="s">
        <v>213</v>
      </c>
      <c r="C91" s="4" t="s">
        <v>229</v>
      </c>
      <c r="D91" s="3" t="s">
        <v>111</v>
      </c>
      <c r="E91" s="4" t="s">
        <v>239</v>
      </c>
      <c r="F91" s="3" t="s">
        <v>6</v>
      </c>
      <c r="G91" s="3" t="s">
        <v>20</v>
      </c>
      <c r="H91" s="3" t="s">
        <v>20</v>
      </c>
      <c r="I91" s="3" t="s">
        <v>20</v>
      </c>
      <c r="J91" s="4" t="s">
        <v>21</v>
      </c>
      <c r="K91" s="5" t="s">
        <v>22</v>
      </c>
      <c r="L91" s="6" t="s">
        <v>23</v>
      </c>
      <c r="M91" s="6" t="s">
        <v>23</v>
      </c>
      <c r="N91" s="6" t="s">
        <v>23</v>
      </c>
      <c r="O91" s="3">
        <f>VALUE(RIGHT(F91,1))</f>
        <v>1</v>
      </c>
    </row>
    <row r="92" ht="90" customHeight="1" spans="1:15" x14ac:dyDescent="0.25">
      <c r="A92" s="3" t="s">
        <v>240</v>
      </c>
      <c r="B92" s="4" t="s">
        <v>213</v>
      </c>
      <c r="C92" s="4" t="s">
        <v>241</v>
      </c>
      <c r="D92" s="3" t="s">
        <v>65</v>
      </c>
      <c r="E92" s="4" t="s">
        <v>242</v>
      </c>
      <c r="F92" s="3" t="s">
        <v>6</v>
      </c>
      <c r="G92" s="3" t="s">
        <v>20</v>
      </c>
      <c r="H92" s="3" t="s">
        <v>20</v>
      </c>
      <c r="I92" s="3" t="s">
        <v>20</v>
      </c>
      <c r="J92" s="4" t="s">
        <v>21</v>
      </c>
      <c r="K92" s="5" t="s">
        <v>22</v>
      </c>
      <c r="L92" s="6" t="s">
        <v>23</v>
      </c>
      <c r="M92" s="6" t="s">
        <v>23</v>
      </c>
      <c r="N92" s="6" t="s">
        <v>23</v>
      </c>
      <c r="O92" s="3">
        <f>VALUE(RIGHT(F92,1))</f>
        <v>1</v>
      </c>
    </row>
    <row r="93" ht="48" customHeight="1" spans="1:15" x14ac:dyDescent="0.25">
      <c r="A93" s="3" t="s">
        <v>243</v>
      </c>
      <c r="B93" s="4" t="s">
        <v>213</v>
      </c>
      <c r="C93" s="4" t="s">
        <v>241</v>
      </c>
      <c r="D93" s="3" t="s">
        <v>65</v>
      </c>
      <c r="E93" s="4" t="s">
        <v>244</v>
      </c>
      <c r="F93" s="3" t="s">
        <v>7</v>
      </c>
      <c r="G93" s="3" t="s">
        <v>23</v>
      </c>
      <c r="H93" s="3" t="s">
        <v>20</v>
      </c>
      <c r="I93" s="3" t="s">
        <v>20</v>
      </c>
      <c r="J93" s="4" t="s">
        <v>21</v>
      </c>
      <c r="K93" s="5" t="s">
        <v>22</v>
      </c>
      <c r="L93" s="6" t="s">
        <v>23</v>
      </c>
      <c r="M93" s="6" t="s">
        <v>23</v>
      </c>
      <c r="N93" s="6" t="s">
        <v>23</v>
      </c>
      <c r="O93" s="3">
        <f>VALUE(RIGHT(F93,1))</f>
        <v>2</v>
      </c>
    </row>
    <row r="94" ht="62" customHeight="1" spans="1:15" x14ac:dyDescent="0.25">
      <c r="A94" s="3" t="s">
        <v>245</v>
      </c>
      <c r="B94" s="4" t="s">
        <v>213</v>
      </c>
      <c r="C94" s="4" t="s">
        <v>241</v>
      </c>
      <c r="D94" s="3" t="s">
        <v>18</v>
      </c>
      <c r="E94" s="4" t="s">
        <v>246</v>
      </c>
      <c r="F94" s="3" t="s">
        <v>7</v>
      </c>
      <c r="G94" s="3" t="s">
        <v>23</v>
      </c>
      <c r="H94" s="3" t="s">
        <v>20</v>
      </c>
      <c r="I94" s="3" t="s">
        <v>20</v>
      </c>
      <c r="J94" s="4" t="s">
        <v>21</v>
      </c>
      <c r="K94" s="5" t="s">
        <v>22</v>
      </c>
      <c r="L94" s="6" t="s">
        <v>23</v>
      </c>
      <c r="M94" s="6" t="s">
        <v>23</v>
      </c>
      <c r="N94" s="6" t="s">
        <v>23</v>
      </c>
      <c r="O94" s="3">
        <f>VALUE(RIGHT(F94,1))</f>
        <v>2</v>
      </c>
    </row>
    <row r="95" ht="62" customHeight="1" spans="1:15" x14ac:dyDescent="0.25">
      <c r="A95" s="3" t="s">
        <v>247</v>
      </c>
      <c r="B95" s="4" t="s">
        <v>213</v>
      </c>
      <c r="C95" s="4" t="s">
        <v>248</v>
      </c>
      <c r="D95" s="3" t="s">
        <v>65</v>
      </c>
      <c r="E95" s="4" t="s">
        <v>249</v>
      </c>
      <c r="F95" s="3" t="s">
        <v>6</v>
      </c>
      <c r="G95" s="3" t="s">
        <v>20</v>
      </c>
      <c r="H95" s="3" t="s">
        <v>20</v>
      </c>
      <c r="I95" s="3" t="s">
        <v>20</v>
      </c>
      <c r="J95" s="4" t="s">
        <v>250</v>
      </c>
      <c r="K95" s="5" t="s">
        <v>22</v>
      </c>
      <c r="L95" s="6" t="s">
        <v>23</v>
      </c>
      <c r="M95" s="6" t="s">
        <v>23</v>
      </c>
      <c r="N95" s="6" t="s">
        <v>23</v>
      </c>
      <c r="O95" s="3">
        <f>VALUE(RIGHT(F95,1))</f>
        <v>1</v>
      </c>
    </row>
    <row r="96" ht="62" customHeight="1" spans="1:15" x14ac:dyDescent="0.25">
      <c r="A96" s="3" t="s">
        <v>251</v>
      </c>
      <c r="B96" s="4" t="s">
        <v>213</v>
      </c>
      <c r="C96" s="4" t="s">
        <v>248</v>
      </c>
      <c r="D96" s="3" t="s">
        <v>65</v>
      </c>
      <c r="E96" s="4" t="s">
        <v>252</v>
      </c>
      <c r="F96" s="3" t="s">
        <v>6</v>
      </c>
      <c r="G96" s="3" t="s">
        <v>20</v>
      </c>
      <c r="H96" s="3" t="s">
        <v>20</v>
      </c>
      <c r="I96" s="3" t="s">
        <v>20</v>
      </c>
      <c r="J96" s="4" t="s">
        <v>250</v>
      </c>
      <c r="K96" s="5" t="s">
        <v>22</v>
      </c>
      <c r="L96" s="6" t="s">
        <v>23</v>
      </c>
      <c r="M96" s="6" t="s">
        <v>23</v>
      </c>
      <c r="N96" s="6" t="s">
        <v>23</v>
      </c>
      <c r="O96" s="3">
        <f>VALUE(RIGHT(F96,1))</f>
        <v>1</v>
      </c>
    </row>
    <row r="97" ht="62" customHeight="1" spans="1:15" x14ac:dyDescent="0.25">
      <c r="A97" s="3" t="s">
        <v>253</v>
      </c>
      <c r="B97" s="4" t="s">
        <v>213</v>
      </c>
      <c r="C97" s="4" t="s">
        <v>248</v>
      </c>
      <c r="D97" s="3" t="s">
        <v>65</v>
      </c>
      <c r="E97" s="4" t="s">
        <v>254</v>
      </c>
      <c r="F97" s="3" t="s">
        <v>7</v>
      </c>
      <c r="G97" s="3" t="s">
        <v>23</v>
      </c>
      <c r="H97" s="3" t="s">
        <v>20</v>
      </c>
      <c r="I97" s="3" t="s">
        <v>20</v>
      </c>
      <c r="J97" s="4" t="s">
        <v>250</v>
      </c>
      <c r="K97" s="5" t="s">
        <v>22</v>
      </c>
      <c r="L97" s="6" t="s">
        <v>23</v>
      </c>
      <c r="M97" s="6" t="s">
        <v>23</v>
      </c>
      <c r="N97" s="6" t="s">
        <v>23</v>
      </c>
      <c r="O97" s="3">
        <f>VALUE(RIGHT(F97,1))</f>
        <v>2</v>
      </c>
    </row>
    <row r="98" ht="62" customHeight="1" spans="1:15" x14ac:dyDescent="0.25">
      <c r="A98" s="3" t="s">
        <v>255</v>
      </c>
      <c r="B98" s="4" t="s">
        <v>213</v>
      </c>
      <c r="C98" s="4" t="s">
        <v>248</v>
      </c>
      <c r="D98" s="3" t="s">
        <v>111</v>
      </c>
      <c r="E98" s="4" t="s">
        <v>256</v>
      </c>
      <c r="F98" s="3" t="s">
        <v>7</v>
      </c>
      <c r="G98" s="3" t="s">
        <v>23</v>
      </c>
      <c r="H98" s="3" t="s">
        <v>20</v>
      </c>
      <c r="I98" s="3" t="s">
        <v>20</v>
      </c>
      <c r="J98" s="4" t="s">
        <v>250</v>
      </c>
      <c r="K98" s="5" t="s">
        <v>22</v>
      </c>
      <c r="L98" s="6" t="s">
        <v>23</v>
      </c>
      <c r="M98" s="6" t="s">
        <v>23</v>
      </c>
      <c r="N98" s="6" t="s">
        <v>23</v>
      </c>
      <c r="O98" s="3">
        <f>VALUE(RIGHT(F98,1))</f>
        <v>2</v>
      </c>
    </row>
    <row r="99" ht="48" customHeight="1" spans="1:15" x14ac:dyDescent="0.25">
      <c r="A99" s="3" t="s">
        <v>257</v>
      </c>
      <c r="B99" s="4" t="s">
        <v>213</v>
      </c>
      <c r="C99" s="4" t="s">
        <v>258</v>
      </c>
      <c r="D99" s="3" t="s">
        <v>65</v>
      </c>
      <c r="E99" s="4" t="s">
        <v>259</v>
      </c>
      <c r="F99" s="3" t="s">
        <v>7</v>
      </c>
      <c r="G99" s="3" t="s">
        <v>23</v>
      </c>
      <c r="H99" s="3" t="s">
        <v>20</v>
      </c>
      <c r="I99" s="3" t="s">
        <v>20</v>
      </c>
      <c r="J99" s="4" t="s">
        <v>260</v>
      </c>
      <c r="K99" s="5" t="s">
        <v>22</v>
      </c>
      <c r="L99" s="6" t="s">
        <v>23</v>
      </c>
      <c r="M99" s="6" t="s">
        <v>23</v>
      </c>
      <c r="N99" s="6" t="s">
        <v>23</v>
      </c>
      <c r="O99" s="3">
        <f>VALUE(RIGHT(F99,1))</f>
        <v>2</v>
      </c>
    </row>
    <row r="100" ht="48" customHeight="1" spans="1:15" x14ac:dyDescent="0.25">
      <c r="A100" s="3" t="s">
        <v>261</v>
      </c>
      <c r="B100" s="4" t="s">
        <v>213</v>
      </c>
      <c r="C100" s="4" t="s">
        <v>258</v>
      </c>
      <c r="D100" s="3" t="s">
        <v>51</v>
      </c>
      <c r="E100" s="4" t="s">
        <v>262</v>
      </c>
      <c r="F100" s="3" t="s">
        <v>7</v>
      </c>
      <c r="G100" s="3" t="s">
        <v>23</v>
      </c>
      <c r="H100" s="3" t="s">
        <v>20</v>
      </c>
      <c r="I100" s="3" t="s">
        <v>20</v>
      </c>
      <c r="J100" s="4" t="s">
        <v>260</v>
      </c>
      <c r="K100" s="5" t="s">
        <v>22</v>
      </c>
      <c r="L100" s="6" t="s">
        <v>23</v>
      </c>
      <c r="M100" s="6" t="s">
        <v>23</v>
      </c>
      <c r="N100" s="6" t="s">
        <v>23</v>
      </c>
      <c r="O100" s="3">
        <f>VALUE(RIGHT(F100,1))</f>
        <v>2</v>
      </c>
    </row>
    <row r="101" ht="62" customHeight="1" spans="1:15" x14ac:dyDescent="0.25">
      <c r="A101" s="3" t="s">
        <v>263</v>
      </c>
      <c r="B101" s="4" t="s">
        <v>213</v>
      </c>
      <c r="C101" s="4" t="s">
        <v>258</v>
      </c>
      <c r="D101" s="3" t="s">
        <v>232</v>
      </c>
      <c r="E101" s="4" t="s">
        <v>264</v>
      </c>
      <c r="F101" s="3" t="s">
        <v>7</v>
      </c>
      <c r="G101" s="3" t="s">
        <v>23</v>
      </c>
      <c r="H101" s="3" t="s">
        <v>20</v>
      </c>
      <c r="I101" s="3" t="s">
        <v>20</v>
      </c>
      <c r="J101" s="4" t="s">
        <v>260</v>
      </c>
      <c r="K101" s="5" t="s">
        <v>22</v>
      </c>
      <c r="L101" s="6" t="s">
        <v>23</v>
      </c>
      <c r="M101" s="6" t="s">
        <v>23</v>
      </c>
      <c r="N101" s="6" t="s">
        <v>23</v>
      </c>
      <c r="O101" s="3">
        <f>VALUE(RIGHT(F101,1))</f>
        <v>2</v>
      </c>
    </row>
    <row r="102" ht="48" customHeight="1" spans="1:15" x14ac:dyDescent="0.25">
      <c r="A102" s="3" t="s">
        <v>265</v>
      </c>
      <c r="B102" s="4" t="s">
        <v>213</v>
      </c>
      <c r="C102" s="4" t="s">
        <v>258</v>
      </c>
      <c r="D102" s="3" t="s">
        <v>18</v>
      </c>
      <c r="E102" s="4" t="s">
        <v>266</v>
      </c>
      <c r="F102" s="3" t="s">
        <v>8</v>
      </c>
      <c r="G102" s="3" t="s">
        <v>23</v>
      </c>
      <c r="H102" s="3" t="s">
        <v>23</v>
      </c>
      <c r="I102" s="3" t="s">
        <v>20</v>
      </c>
      <c r="J102" s="4" t="s">
        <v>260</v>
      </c>
      <c r="K102" s="5" t="s">
        <v>22</v>
      </c>
      <c r="L102" s="6" t="s">
        <v>23</v>
      </c>
      <c r="M102" s="6" t="s">
        <v>23</v>
      </c>
      <c r="N102" s="6" t="s">
        <v>23</v>
      </c>
      <c r="O102" s="3">
        <f>VALUE(RIGHT(F102,1))</f>
        <v>3</v>
      </c>
    </row>
    <row r="103" ht="76" customHeight="1" spans="1:15" x14ac:dyDescent="0.25">
      <c r="A103" s="3" t="s">
        <v>267</v>
      </c>
      <c r="B103" s="4" t="s">
        <v>213</v>
      </c>
      <c r="C103" s="4" t="s">
        <v>258</v>
      </c>
      <c r="D103" s="3" t="s">
        <v>51</v>
      </c>
      <c r="E103" s="4" t="s">
        <v>268</v>
      </c>
      <c r="F103" s="3" t="s">
        <v>6</v>
      </c>
      <c r="G103" s="3" t="s">
        <v>20</v>
      </c>
      <c r="H103" s="3" t="s">
        <v>20</v>
      </c>
      <c r="I103" s="3" t="s">
        <v>20</v>
      </c>
      <c r="J103" s="4" t="s">
        <v>260</v>
      </c>
      <c r="K103" s="5" t="s">
        <v>22</v>
      </c>
      <c r="L103" s="6" t="s">
        <v>23</v>
      </c>
      <c r="M103" s="6" t="s">
        <v>23</v>
      </c>
      <c r="N103" s="6" t="s">
        <v>23</v>
      </c>
      <c r="O103" s="3">
        <f>VALUE(RIGHT(F103,1))</f>
        <v>1</v>
      </c>
    </row>
    <row r="104" ht="76" customHeight="1" spans="1:15" x14ac:dyDescent="0.25">
      <c r="A104" s="3" t="s">
        <v>269</v>
      </c>
      <c r="B104" s="4" t="s">
        <v>213</v>
      </c>
      <c r="C104" s="4" t="s">
        <v>258</v>
      </c>
      <c r="D104" s="3" t="s">
        <v>62</v>
      </c>
      <c r="E104" s="4" t="s">
        <v>270</v>
      </c>
      <c r="F104" s="3" t="s">
        <v>7</v>
      </c>
      <c r="G104" s="3" t="s">
        <v>23</v>
      </c>
      <c r="H104" s="3" t="s">
        <v>20</v>
      </c>
      <c r="I104" s="3" t="s">
        <v>20</v>
      </c>
      <c r="J104" s="4" t="s">
        <v>260</v>
      </c>
      <c r="K104" s="5" t="s">
        <v>22</v>
      </c>
      <c r="L104" s="6" t="s">
        <v>23</v>
      </c>
      <c r="M104" s="6" t="s">
        <v>23</v>
      </c>
      <c r="N104" s="6" t="s">
        <v>23</v>
      </c>
      <c r="O104" s="3">
        <f>VALUE(RIGHT(F104,1))</f>
        <v>2</v>
      </c>
    </row>
    <row r="105" ht="48" customHeight="1" spans="1:15" x14ac:dyDescent="0.25">
      <c r="A105" s="3" t="s">
        <v>271</v>
      </c>
      <c r="B105" s="4" t="s">
        <v>213</v>
      </c>
      <c r="C105" s="4" t="s">
        <v>272</v>
      </c>
      <c r="D105" s="3" t="s">
        <v>18</v>
      </c>
      <c r="E105" s="4" t="s">
        <v>273</v>
      </c>
      <c r="F105" s="3" t="s">
        <v>7</v>
      </c>
      <c r="G105" s="3" t="s">
        <v>23</v>
      </c>
      <c r="H105" s="3" t="s">
        <v>20</v>
      </c>
      <c r="I105" s="3" t="s">
        <v>20</v>
      </c>
      <c r="J105" s="4" t="s">
        <v>21</v>
      </c>
      <c r="K105" s="5" t="s">
        <v>22</v>
      </c>
      <c r="L105" s="6" t="s">
        <v>23</v>
      </c>
      <c r="M105" s="6" t="s">
        <v>23</v>
      </c>
      <c r="N105" s="6" t="s">
        <v>23</v>
      </c>
      <c r="O105" s="3">
        <f>VALUE(RIGHT(F105,1))</f>
        <v>2</v>
      </c>
    </row>
    <row r="106" ht="48" customHeight="1" spans="1:15" x14ac:dyDescent="0.25">
      <c r="A106" s="3" t="s">
        <v>274</v>
      </c>
      <c r="B106" s="4" t="s">
        <v>213</v>
      </c>
      <c r="C106" s="4" t="s">
        <v>272</v>
      </c>
      <c r="D106" s="3" t="s">
        <v>65</v>
      </c>
      <c r="E106" s="4" t="s">
        <v>275</v>
      </c>
      <c r="F106" s="3" t="s">
        <v>7</v>
      </c>
      <c r="G106" s="3" t="s">
        <v>23</v>
      </c>
      <c r="H106" s="3" t="s">
        <v>20</v>
      </c>
      <c r="I106" s="3" t="s">
        <v>20</v>
      </c>
      <c r="J106" s="4" t="s">
        <v>21</v>
      </c>
      <c r="K106" s="5" t="s">
        <v>22</v>
      </c>
      <c r="L106" s="6" t="s">
        <v>23</v>
      </c>
      <c r="M106" s="6" t="s">
        <v>23</v>
      </c>
      <c r="N106" s="6" t="s">
        <v>23</v>
      </c>
      <c r="O106" s="3">
        <f>VALUE(RIGHT(F106,1))</f>
        <v>2</v>
      </c>
    </row>
    <row r="107" ht="48" customHeight="1" spans="1:15" x14ac:dyDescent="0.25">
      <c r="A107" s="3" t="s">
        <v>276</v>
      </c>
      <c r="B107" s="4" t="s">
        <v>213</v>
      </c>
      <c r="C107" s="4" t="s">
        <v>272</v>
      </c>
      <c r="D107" s="3" t="s">
        <v>18</v>
      </c>
      <c r="E107" s="4" t="s">
        <v>277</v>
      </c>
      <c r="F107" s="3" t="s">
        <v>6</v>
      </c>
      <c r="G107" s="3" t="s">
        <v>20</v>
      </c>
      <c r="H107" s="3" t="s">
        <v>20</v>
      </c>
      <c r="I107" s="3" t="s">
        <v>20</v>
      </c>
      <c r="J107" s="4" t="s">
        <v>21</v>
      </c>
      <c r="K107" s="5" t="s">
        <v>22</v>
      </c>
      <c r="L107" s="6" t="s">
        <v>23</v>
      </c>
      <c r="M107" s="6" t="s">
        <v>23</v>
      </c>
      <c r="N107" s="6" t="s">
        <v>23</v>
      </c>
      <c r="O107" s="3">
        <f>VALUE(RIGHT(F107,1))</f>
        <v>1</v>
      </c>
    </row>
    <row r="108" ht="48" customHeight="1" spans="1:15" x14ac:dyDescent="0.25">
      <c r="A108" s="3" t="s">
        <v>278</v>
      </c>
      <c r="B108" s="4" t="s">
        <v>213</v>
      </c>
      <c r="C108" s="4" t="s">
        <v>279</v>
      </c>
      <c r="D108" s="3" t="s">
        <v>65</v>
      </c>
      <c r="E108" s="4" t="s">
        <v>280</v>
      </c>
      <c r="F108" s="3" t="s">
        <v>6</v>
      </c>
      <c r="G108" s="3" t="s">
        <v>20</v>
      </c>
      <c r="H108" s="3" t="s">
        <v>20</v>
      </c>
      <c r="I108" s="3" t="s">
        <v>20</v>
      </c>
      <c r="J108" s="4" t="s">
        <v>21</v>
      </c>
      <c r="K108" s="5" t="s">
        <v>22</v>
      </c>
      <c r="L108" s="6" t="s">
        <v>23</v>
      </c>
      <c r="M108" s="6" t="s">
        <v>23</v>
      </c>
      <c r="N108" s="6" t="s">
        <v>23</v>
      </c>
      <c r="O108" s="3">
        <f>VALUE(RIGHT(F108,1))</f>
        <v>1</v>
      </c>
    </row>
    <row r="109" ht="48" customHeight="1" spans="1:15" x14ac:dyDescent="0.25">
      <c r="A109" s="3" t="s">
        <v>281</v>
      </c>
      <c r="B109" s="4" t="s">
        <v>213</v>
      </c>
      <c r="C109" s="4" t="s">
        <v>279</v>
      </c>
      <c r="D109" s="3" t="s">
        <v>65</v>
      </c>
      <c r="E109" s="4" t="s">
        <v>282</v>
      </c>
      <c r="F109" s="3" t="s">
        <v>6</v>
      </c>
      <c r="G109" s="3" t="s">
        <v>20</v>
      </c>
      <c r="H109" s="3" t="s">
        <v>20</v>
      </c>
      <c r="I109" s="3" t="s">
        <v>20</v>
      </c>
      <c r="J109" s="4" t="s">
        <v>21</v>
      </c>
      <c r="K109" s="5" t="s">
        <v>22</v>
      </c>
      <c r="L109" s="6" t="s">
        <v>23</v>
      </c>
      <c r="M109" s="6" t="s">
        <v>23</v>
      </c>
      <c r="N109" s="6" t="s">
        <v>23</v>
      </c>
      <c r="O109" s="3">
        <f>VALUE(RIGHT(F109,1))</f>
        <v>1</v>
      </c>
    </row>
    <row r="110" ht="48" customHeight="1" spans="1:15" x14ac:dyDescent="0.25">
      <c r="A110" s="3" t="s">
        <v>283</v>
      </c>
      <c r="B110" s="4" t="s">
        <v>213</v>
      </c>
      <c r="C110" s="4" t="s">
        <v>279</v>
      </c>
      <c r="D110" s="3" t="s">
        <v>65</v>
      </c>
      <c r="E110" s="4" t="s">
        <v>284</v>
      </c>
      <c r="F110" s="3" t="s">
        <v>6</v>
      </c>
      <c r="G110" s="3" t="s">
        <v>20</v>
      </c>
      <c r="H110" s="3" t="s">
        <v>20</v>
      </c>
      <c r="I110" s="3" t="s">
        <v>20</v>
      </c>
      <c r="J110" s="4" t="s">
        <v>21</v>
      </c>
      <c r="K110" s="5" t="s">
        <v>22</v>
      </c>
      <c r="L110" s="6" t="s">
        <v>23</v>
      </c>
      <c r="M110" s="6" t="s">
        <v>23</v>
      </c>
      <c r="N110" s="6" t="s">
        <v>23</v>
      </c>
      <c r="O110" s="3">
        <f>VALUE(RIGHT(F110,1))</f>
        <v>1</v>
      </c>
    </row>
    <row r="111" ht="48" customHeight="1" spans="1:15" x14ac:dyDescent="0.25">
      <c r="A111" s="3" t="s">
        <v>285</v>
      </c>
      <c r="B111" s="4" t="s">
        <v>213</v>
      </c>
      <c r="C111" s="4" t="s">
        <v>279</v>
      </c>
      <c r="D111" s="3" t="s">
        <v>65</v>
      </c>
      <c r="E111" s="4" t="s">
        <v>286</v>
      </c>
      <c r="F111" s="3" t="s">
        <v>7</v>
      </c>
      <c r="G111" s="3" t="s">
        <v>23</v>
      </c>
      <c r="H111" s="3" t="s">
        <v>20</v>
      </c>
      <c r="I111" s="3" t="s">
        <v>20</v>
      </c>
      <c r="J111" s="4" t="s">
        <v>21</v>
      </c>
      <c r="K111" s="5" t="s">
        <v>22</v>
      </c>
      <c r="L111" s="6" t="s">
        <v>23</v>
      </c>
      <c r="M111" s="6" t="s">
        <v>23</v>
      </c>
      <c r="N111" s="6" t="s">
        <v>23</v>
      </c>
      <c r="O111" s="3">
        <f>VALUE(RIGHT(F111,1))</f>
        <v>2</v>
      </c>
    </row>
    <row r="112" ht="48" customHeight="1" spans="1:15" x14ac:dyDescent="0.25">
      <c r="A112" s="3" t="s">
        <v>287</v>
      </c>
      <c r="B112" s="4" t="s">
        <v>213</v>
      </c>
      <c r="C112" s="4" t="s">
        <v>279</v>
      </c>
      <c r="D112" s="3" t="s">
        <v>65</v>
      </c>
      <c r="E112" s="4" t="s">
        <v>288</v>
      </c>
      <c r="F112" s="3" t="s">
        <v>7</v>
      </c>
      <c r="G112" s="3" t="s">
        <v>23</v>
      </c>
      <c r="H112" s="3" t="s">
        <v>20</v>
      </c>
      <c r="I112" s="3" t="s">
        <v>20</v>
      </c>
      <c r="J112" s="4" t="s">
        <v>21</v>
      </c>
      <c r="K112" s="5" t="s">
        <v>22</v>
      </c>
      <c r="L112" s="6" t="s">
        <v>23</v>
      </c>
      <c r="M112" s="6" t="s">
        <v>23</v>
      </c>
      <c r="N112" s="6" t="s">
        <v>23</v>
      </c>
      <c r="O112" s="3">
        <f>VALUE(RIGHT(F112,1))</f>
        <v>2</v>
      </c>
    </row>
    <row r="113" ht="76" customHeight="1" spans="1:15" x14ac:dyDescent="0.25">
      <c r="A113" s="3" t="s">
        <v>289</v>
      </c>
      <c r="B113" s="4" t="s">
        <v>290</v>
      </c>
      <c r="C113" s="4" t="s">
        <v>291</v>
      </c>
      <c r="D113" s="3" t="s">
        <v>232</v>
      </c>
      <c r="E113" s="4" t="s">
        <v>292</v>
      </c>
      <c r="F113" s="3" t="s">
        <v>6</v>
      </c>
      <c r="G113" s="3" t="s">
        <v>20</v>
      </c>
      <c r="H113" s="3" t="s">
        <v>20</v>
      </c>
      <c r="I113" s="3" t="s">
        <v>20</v>
      </c>
      <c r="J113" s="4" t="s">
        <v>293</v>
      </c>
      <c r="K113" s="5" t="s">
        <v>22</v>
      </c>
      <c r="L113" s="6" t="s">
        <v>23</v>
      </c>
      <c r="M113" s="6" t="s">
        <v>23</v>
      </c>
      <c r="N113" s="6" t="s">
        <v>23</v>
      </c>
      <c r="O113" s="3">
        <f>VALUE(RIGHT(F113,1))</f>
        <v>1</v>
      </c>
    </row>
    <row r="114" ht="76" customHeight="1" spans="1:15" x14ac:dyDescent="0.25">
      <c r="A114" s="3" t="s">
        <v>294</v>
      </c>
      <c r="B114" s="4" t="s">
        <v>290</v>
      </c>
      <c r="C114" s="4" t="s">
        <v>291</v>
      </c>
      <c r="D114" s="3" t="s">
        <v>232</v>
      </c>
      <c r="E114" s="4" t="s">
        <v>295</v>
      </c>
      <c r="F114" s="3" t="s">
        <v>6</v>
      </c>
      <c r="G114" s="3" t="s">
        <v>20</v>
      </c>
      <c r="H114" s="3" t="s">
        <v>20</v>
      </c>
      <c r="I114" s="3" t="s">
        <v>20</v>
      </c>
      <c r="J114" s="4" t="s">
        <v>293</v>
      </c>
      <c r="K114" s="5" t="s">
        <v>22</v>
      </c>
      <c r="L114" s="6" t="s">
        <v>23</v>
      </c>
      <c r="M114" s="6" t="s">
        <v>23</v>
      </c>
      <c r="N114" s="6" t="s">
        <v>23</v>
      </c>
      <c r="O114" s="3">
        <f>VALUE(RIGHT(F114,1))</f>
        <v>1</v>
      </c>
    </row>
    <row r="115" ht="76" customHeight="1" spans="1:15" x14ac:dyDescent="0.25">
      <c r="A115" s="3" t="s">
        <v>296</v>
      </c>
      <c r="B115" s="4" t="s">
        <v>290</v>
      </c>
      <c r="C115" s="4" t="s">
        <v>291</v>
      </c>
      <c r="D115" s="3" t="s">
        <v>232</v>
      </c>
      <c r="E115" s="4" t="s">
        <v>297</v>
      </c>
      <c r="F115" s="3" t="s">
        <v>7</v>
      </c>
      <c r="G115" s="3" t="s">
        <v>23</v>
      </c>
      <c r="H115" s="3" t="s">
        <v>20</v>
      </c>
      <c r="I115" s="3" t="s">
        <v>20</v>
      </c>
      <c r="J115" s="4" t="s">
        <v>293</v>
      </c>
      <c r="K115" s="5" t="s">
        <v>22</v>
      </c>
      <c r="L115" s="6" t="s">
        <v>23</v>
      </c>
      <c r="M115" s="6" t="s">
        <v>23</v>
      </c>
      <c r="N115" s="6" t="s">
        <v>23</v>
      </c>
      <c r="O115" s="3">
        <f>VALUE(RIGHT(F115,1))</f>
        <v>2</v>
      </c>
    </row>
    <row r="116" ht="76" customHeight="1" spans="1:15" x14ac:dyDescent="0.25">
      <c r="A116" s="3" t="s">
        <v>298</v>
      </c>
      <c r="B116" s="4" t="s">
        <v>290</v>
      </c>
      <c r="C116" s="4" t="s">
        <v>291</v>
      </c>
      <c r="D116" s="3" t="s">
        <v>232</v>
      </c>
      <c r="E116" s="4" t="s">
        <v>299</v>
      </c>
      <c r="F116" s="3" t="s">
        <v>7</v>
      </c>
      <c r="G116" s="3" t="s">
        <v>23</v>
      </c>
      <c r="H116" s="3" t="s">
        <v>20</v>
      </c>
      <c r="I116" s="3" t="s">
        <v>20</v>
      </c>
      <c r="J116" s="4" t="s">
        <v>293</v>
      </c>
      <c r="K116" s="5" t="s">
        <v>22</v>
      </c>
      <c r="L116" s="6" t="s">
        <v>23</v>
      </c>
      <c r="M116" s="6" t="s">
        <v>23</v>
      </c>
      <c r="N116" s="6" t="s">
        <v>23</v>
      </c>
      <c r="O116" s="3">
        <f>VALUE(RIGHT(F116,1))</f>
        <v>2</v>
      </c>
    </row>
    <row r="117" ht="48" customHeight="1" spans="1:15" x14ac:dyDescent="0.25">
      <c r="A117" s="3" t="s">
        <v>300</v>
      </c>
      <c r="B117" s="4" t="s">
        <v>290</v>
      </c>
      <c r="C117" s="4" t="s">
        <v>301</v>
      </c>
      <c r="D117" s="3" t="s">
        <v>232</v>
      </c>
      <c r="E117" s="4" t="s">
        <v>302</v>
      </c>
      <c r="F117" s="3" t="s">
        <v>6</v>
      </c>
      <c r="G117" s="3" t="s">
        <v>20</v>
      </c>
      <c r="H117" s="3" t="s">
        <v>20</v>
      </c>
      <c r="I117" s="3" t="s">
        <v>20</v>
      </c>
      <c r="J117" s="4" t="s">
        <v>303</v>
      </c>
      <c r="K117" s="5" t="s">
        <v>22</v>
      </c>
      <c r="L117" s="6" t="s">
        <v>23</v>
      </c>
      <c r="M117" s="6" t="s">
        <v>23</v>
      </c>
      <c r="N117" s="6" t="s">
        <v>23</v>
      </c>
      <c r="O117" s="3">
        <f>VALUE(RIGHT(F117,1))</f>
        <v>1</v>
      </c>
    </row>
    <row r="118" ht="90" customHeight="1" spans="1:15" x14ac:dyDescent="0.25">
      <c r="A118" s="3" t="s">
        <v>304</v>
      </c>
      <c r="B118" s="4" t="s">
        <v>290</v>
      </c>
      <c r="C118" s="4" t="s">
        <v>301</v>
      </c>
      <c r="D118" s="3" t="s">
        <v>18</v>
      </c>
      <c r="E118" s="4" t="s">
        <v>305</v>
      </c>
      <c r="F118" s="3" t="s">
        <v>6</v>
      </c>
      <c r="G118" s="3" t="s">
        <v>20</v>
      </c>
      <c r="H118" s="3" t="s">
        <v>20</v>
      </c>
      <c r="I118" s="3" t="s">
        <v>20</v>
      </c>
      <c r="J118" s="4" t="s">
        <v>303</v>
      </c>
      <c r="K118" s="5" t="s">
        <v>22</v>
      </c>
      <c r="L118" s="6" t="s">
        <v>23</v>
      </c>
      <c r="M118" s="6" t="s">
        <v>23</v>
      </c>
      <c r="N118" s="6" t="s">
        <v>23</v>
      </c>
      <c r="O118" s="3">
        <f>VALUE(RIGHT(F118,1))</f>
        <v>1</v>
      </c>
    </row>
    <row r="119" ht="62" customHeight="1" spans="1:15" x14ac:dyDescent="0.25">
      <c r="A119" s="3" t="s">
        <v>306</v>
      </c>
      <c r="B119" s="4" t="s">
        <v>290</v>
      </c>
      <c r="C119" s="4" t="s">
        <v>301</v>
      </c>
      <c r="D119" s="3" t="s">
        <v>62</v>
      </c>
      <c r="E119" s="4" t="s">
        <v>307</v>
      </c>
      <c r="F119" s="3" t="s">
        <v>7</v>
      </c>
      <c r="G119" s="3" t="s">
        <v>23</v>
      </c>
      <c r="H119" s="3" t="s">
        <v>20</v>
      </c>
      <c r="I119" s="3" t="s">
        <v>20</v>
      </c>
      <c r="J119" s="4" t="s">
        <v>303</v>
      </c>
      <c r="K119" s="5" t="s">
        <v>22</v>
      </c>
      <c r="L119" s="6" t="s">
        <v>23</v>
      </c>
      <c r="M119" s="6" t="s">
        <v>23</v>
      </c>
      <c r="N119" s="6" t="s">
        <v>23</v>
      </c>
      <c r="O119" s="3">
        <f>VALUE(RIGHT(F119,1))</f>
        <v>2</v>
      </c>
    </row>
    <row r="120" ht="34" customHeight="1" spans="1:15" x14ac:dyDescent="0.25">
      <c r="A120" s="3" t="s">
        <v>308</v>
      </c>
      <c r="B120" s="4" t="s">
        <v>290</v>
      </c>
      <c r="C120" s="4" t="s">
        <v>301</v>
      </c>
      <c r="D120" s="3" t="s">
        <v>232</v>
      </c>
      <c r="E120" s="4" t="s">
        <v>309</v>
      </c>
      <c r="F120" s="3" t="s">
        <v>7</v>
      </c>
      <c r="G120" s="3" t="s">
        <v>23</v>
      </c>
      <c r="H120" s="3" t="s">
        <v>20</v>
      </c>
      <c r="I120" s="3" t="s">
        <v>20</v>
      </c>
      <c r="J120" s="4" t="s">
        <v>303</v>
      </c>
      <c r="K120" s="5" t="s">
        <v>22</v>
      </c>
      <c r="L120" s="6" t="s">
        <v>23</v>
      </c>
      <c r="M120" s="6" t="s">
        <v>23</v>
      </c>
      <c r="N120" s="6" t="s">
        <v>23</v>
      </c>
      <c r="O120" s="3">
        <f>VALUE(RIGHT(F120,1))</f>
        <v>2</v>
      </c>
    </row>
    <row r="121" ht="48" customHeight="1" spans="1:15" x14ac:dyDescent="0.25">
      <c r="A121" s="3" t="s">
        <v>310</v>
      </c>
      <c r="B121" s="4" t="s">
        <v>290</v>
      </c>
      <c r="C121" s="4" t="s">
        <v>311</v>
      </c>
      <c r="D121" s="3" t="s">
        <v>232</v>
      </c>
      <c r="E121" s="4" t="s">
        <v>312</v>
      </c>
      <c r="F121" s="3" t="s">
        <v>6</v>
      </c>
      <c r="G121" s="3" t="s">
        <v>20</v>
      </c>
      <c r="H121" s="3" t="s">
        <v>20</v>
      </c>
      <c r="I121" s="3" t="s">
        <v>20</v>
      </c>
      <c r="J121" s="4" t="s">
        <v>313</v>
      </c>
      <c r="K121" s="5" t="s">
        <v>22</v>
      </c>
      <c r="L121" s="6" t="s">
        <v>23</v>
      </c>
      <c r="M121" s="6" t="s">
        <v>23</v>
      </c>
      <c r="N121" s="6" t="s">
        <v>23</v>
      </c>
      <c r="O121" s="3">
        <f>VALUE(RIGHT(F121,1))</f>
        <v>1</v>
      </c>
    </row>
    <row r="122" ht="62" customHeight="1" spans="1:15" x14ac:dyDescent="0.25">
      <c r="A122" s="3" t="s">
        <v>314</v>
      </c>
      <c r="B122" s="4" t="s">
        <v>290</v>
      </c>
      <c r="C122" s="4" t="s">
        <v>311</v>
      </c>
      <c r="D122" s="3" t="s">
        <v>62</v>
      </c>
      <c r="E122" s="4" t="s">
        <v>315</v>
      </c>
      <c r="F122" s="3" t="s">
        <v>6</v>
      </c>
      <c r="G122" s="3" t="s">
        <v>20</v>
      </c>
      <c r="H122" s="3" t="s">
        <v>20</v>
      </c>
      <c r="I122" s="3" t="s">
        <v>20</v>
      </c>
      <c r="J122" s="4" t="s">
        <v>313</v>
      </c>
      <c r="K122" s="5" t="s">
        <v>22</v>
      </c>
      <c r="L122" s="6" t="s">
        <v>23</v>
      </c>
      <c r="M122" s="6" t="s">
        <v>23</v>
      </c>
      <c r="N122" s="6" t="s">
        <v>23</v>
      </c>
      <c r="O122" s="3">
        <f>VALUE(RIGHT(F122,1))</f>
        <v>1</v>
      </c>
    </row>
    <row r="123" ht="48" customHeight="1" spans="1:15" x14ac:dyDescent="0.25">
      <c r="A123" s="3" t="s">
        <v>316</v>
      </c>
      <c r="B123" s="4" t="s">
        <v>290</v>
      </c>
      <c r="C123" s="4" t="s">
        <v>311</v>
      </c>
      <c r="D123" s="3" t="s">
        <v>65</v>
      </c>
      <c r="E123" s="4" t="s">
        <v>317</v>
      </c>
      <c r="F123" s="3" t="s">
        <v>7</v>
      </c>
      <c r="G123" s="3" t="s">
        <v>23</v>
      </c>
      <c r="H123" s="3" t="s">
        <v>20</v>
      </c>
      <c r="I123" s="3" t="s">
        <v>20</v>
      </c>
      <c r="J123" s="4" t="s">
        <v>313</v>
      </c>
      <c r="K123" s="5" t="s">
        <v>22</v>
      </c>
      <c r="L123" s="6" t="s">
        <v>23</v>
      </c>
      <c r="M123" s="6" t="s">
        <v>23</v>
      </c>
      <c r="N123" s="6" t="s">
        <v>23</v>
      </c>
      <c r="O123" s="3">
        <f>VALUE(RIGHT(F123,1))</f>
        <v>2</v>
      </c>
    </row>
    <row r="124" ht="48" customHeight="1" spans="1:15" x14ac:dyDescent="0.25">
      <c r="A124" s="3" t="s">
        <v>318</v>
      </c>
      <c r="B124" s="4" t="s">
        <v>290</v>
      </c>
      <c r="C124" s="4" t="s">
        <v>311</v>
      </c>
      <c r="D124" s="3" t="s">
        <v>232</v>
      </c>
      <c r="E124" s="4" t="s">
        <v>319</v>
      </c>
      <c r="F124" s="3" t="s">
        <v>7</v>
      </c>
      <c r="G124" s="3" t="s">
        <v>23</v>
      </c>
      <c r="H124" s="3" t="s">
        <v>20</v>
      </c>
      <c r="I124" s="3" t="s">
        <v>20</v>
      </c>
      <c r="J124" s="4" t="s">
        <v>313</v>
      </c>
      <c r="K124" s="5" t="s">
        <v>22</v>
      </c>
      <c r="L124" s="6" t="s">
        <v>23</v>
      </c>
      <c r="M124" s="6" t="s">
        <v>23</v>
      </c>
      <c r="N124" s="6" t="s">
        <v>23</v>
      </c>
      <c r="O124" s="3">
        <f>VALUE(RIGHT(F124,1))</f>
        <v>2</v>
      </c>
    </row>
    <row r="125" ht="90" customHeight="1" spans="1:15" x14ac:dyDescent="0.25">
      <c r="A125" s="3" t="s">
        <v>320</v>
      </c>
      <c r="B125" s="4" t="s">
        <v>290</v>
      </c>
      <c r="C125" s="4" t="s">
        <v>311</v>
      </c>
      <c r="D125" s="3" t="s">
        <v>62</v>
      </c>
      <c r="E125" s="4" t="s">
        <v>321</v>
      </c>
      <c r="F125" s="3" t="s">
        <v>6</v>
      </c>
      <c r="G125" s="3" t="s">
        <v>20</v>
      </c>
      <c r="H125" s="3" t="s">
        <v>20</v>
      </c>
      <c r="I125" s="3" t="s">
        <v>20</v>
      </c>
      <c r="J125" s="4" t="s">
        <v>313</v>
      </c>
      <c r="K125" s="5" t="s">
        <v>22</v>
      </c>
      <c r="L125" s="6" t="s">
        <v>23</v>
      </c>
      <c r="M125" s="6" t="s">
        <v>23</v>
      </c>
      <c r="N125" s="6" t="s">
        <v>23</v>
      </c>
      <c r="O125" s="3">
        <f>VALUE(RIGHT(F125,1))</f>
        <v>1</v>
      </c>
    </row>
    <row r="126" ht="62" customHeight="1" spans="1:15" x14ac:dyDescent="0.25">
      <c r="A126" s="3" t="s">
        <v>322</v>
      </c>
      <c r="B126" s="4" t="s">
        <v>290</v>
      </c>
      <c r="C126" s="4" t="s">
        <v>323</v>
      </c>
      <c r="D126" s="3" t="s">
        <v>232</v>
      </c>
      <c r="E126" s="4" t="s">
        <v>324</v>
      </c>
      <c r="F126" s="3" t="s">
        <v>6</v>
      </c>
      <c r="G126" s="3" t="s">
        <v>20</v>
      </c>
      <c r="H126" s="3" t="s">
        <v>20</v>
      </c>
      <c r="I126" s="3" t="s">
        <v>20</v>
      </c>
      <c r="J126" s="4" t="s">
        <v>325</v>
      </c>
      <c r="K126" s="5" t="s">
        <v>22</v>
      </c>
      <c r="L126" s="6" t="s">
        <v>23</v>
      </c>
      <c r="M126" s="6" t="s">
        <v>23</v>
      </c>
      <c r="N126" s="6" t="s">
        <v>23</v>
      </c>
      <c r="O126" s="3">
        <f>VALUE(RIGHT(F126,1))</f>
        <v>1</v>
      </c>
    </row>
    <row r="127" ht="62" customHeight="1" spans="1:15" x14ac:dyDescent="0.25">
      <c r="A127" s="3" t="s">
        <v>326</v>
      </c>
      <c r="B127" s="4" t="s">
        <v>290</v>
      </c>
      <c r="C127" s="4" t="s">
        <v>323</v>
      </c>
      <c r="D127" s="3" t="s">
        <v>232</v>
      </c>
      <c r="E127" s="4" t="s">
        <v>327</v>
      </c>
      <c r="F127" s="3" t="s">
        <v>6</v>
      </c>
      <c r="G127" s="3" t="s">
        <v>20</v>
      </c>
      <c r="H127" s="3" t="s">
        <v>20</v>
      </c>
      <c r="I127" s="3" t="s">
        <v>20</v>
      </c>
      <c r="J127" s="4" t="s">
        <v>325</v>
      </c>
      <c r="K127" s="5" t="s">
        <v>22</v>
      </c>
      <c r="L127" s="6" t="s">
        <v>23</v>
      </c>
      <c r="M127" s="6" t="s">
        <v>23</v>
      </c>
      <c r="N127" s="6" t="s">
        <v>23</v>
      </c>
      <c r="O127" s="3">
        <f>VALUE(RIGHT(F127,1))</f>
        <v>1</v>
      </c>
    </row>
    <row r="128" ht="90" customHeight="1" spans="1:15" x14ac:dyDescent="0.25">
      <c r="A128" s="3" t="s">
        <v>328</v>
      </c>
      <c r="B128" s="4" t="s">
        <v>290</v>
      </c>
      <c r="C128" s="4" t="s">
        <v>323</v>
      </c>
      <c r="D128" s="3" t="s">
        <v>62</v>
      </c>
      <c r="E128" s="4" t="s">
        <v>329</v>
      </c>
      <c r="F128" s="3" t="s">
        <v>6</v>
      </c>
      <c r="G128" s="3" t="s">
        <v>20</v>
      </c>
      <c r="H128" s="3" t="s">
        <v>20</v>
      </c>
      <c r="I128" s="3" t="s">
        <v>20</v>
      </c>
      <c r="J128" s="4" t="s">
        <v>325</v>
      </c>
      <c r="K128" s="5" t="s">
        <v>22</v>
      </c>
      <c r="L128" s="6" t="s">
        <v>23</v>
      </c>
      <c r="M128" s="6" t="s">
        <v>23</v>
      </c>
      <c r="N128" s="6" t="s">
        <v>23</v>
      </c>
      <c r="O128" s="3">
        <f>VALUE(RIGHT(F128,1))</f>
        <v>1</v>
      </c>
    </row>
    <row r="129" ht="62" customHeight="1" spans="1:15" x14ac:dyDescent="0.25">
      <c r="A129" s="3" t="s">
        <v>330</v>
      </c>
      <c r="B129" s="4" t="s">
        <v>290</v>
      </c>
      <c r="C129" s="4" t="s">
        <v>323</v>
      </c>
      <c r="D129" s="3" t="s">
        <v>65</v>
      </c>
      <c r="E129" s="4" t="s">
        <v>331</v>
      </c>
      <c r="F129" s="3" t="s">
        <v>6</v>
      </c>
      <c r="G129" s="3" t="s">
        <v>20</v>
      </c>
      <c r="H129" s="3" t="s">
        <v>20</v>
      </c>
      <c r="I129" s="3" t="s">
        <v>20</v>
      </c>
      <c r="J129" s="4" t="s">
        <v>325</v>
      </c>
      <c r="K129" s="5" t="s">
        <v>22</v>
      </c>
      <c r="L129" s="6" t="s">
        <v>23</v>
      </c>
      <c r="M129" s="6" t="s">
        <v>23</v>
      </c>
      <c r="N129" s="6" t="s">
        <v>23</v>
      </c>
      <c r="O129" s="3">
        <f>VALUE(RIGHT(F129,1))</f>
        <v>1</v>
      </c>
    </row>
    <row r="130" ht="48" customHeight="1" spans="1:15" x14ac:dyDescent="0.25">
      <c r="A130" s="3" t="s">
        <v>332</v>
      </c>
      <c r="B130" s="4" t="s">
        <v>290</v>
      </c>
      <c r="C130" s="4" t="s">
        <v>333</v>
      </c>
      <c r="D130" s="3" t="s">
        <v>62</v>
      </c>
      <c r="E130" s="4" t="s">
        <v>334</v>
      </c>
      <c r="F130" s="3" t="s">
        <v>6</v>
      </c>
      <c r="G130" s="3" t="s">
        <v>20</v>
      </c>
      <c r="H130" s="3" t="s">
        <v>20</v>
      </c>
      <c r="I130" s="3" t="s">
        <v>20</v>
      </c>
      <c r="J130" s="4" t="s">
        <v>21</v>
      </c>
      <c r="K130" s="5" t="s">
        <v>22</v>
      </c>
      <c r="L130" s="6" t="s">
        <v>23</v>
      </c>
      <c r="M130" s="6" t="s">
        <v>23</v>
      </c>
      <c r="N130" s="6" t="s">
        <v>23</v>
      </c>
      <c r="O130" s="3">
        <f>VALUE(RIGHT(F130,1))</f>
        <v>1</v>
      </c>
    </row>
    <row r="131" ht="48" customHeight="1" spans="1:15" x14ac:dyDescent="0.25">
      <c r="A131" s="3" t="s">
        <v>335</v>
      </c>
      <c r="B131" s="4" t="s">
        <v>290</v>
      </c>
      <c r="C131" s="4" t="s">
        <v>333</v>
      </c>
      <c r="D131" s="3" t="s">
        <v>62</v>
      </c>
      <c r="E131" s="4" t="s">
        <v>336</v>
      </c>
      <c r="F131" s="3" t="s">
        <v>6</v>
      </c>
      <c r="G131" s="3" t="s">
        <v>20</v>
      </c>
      <c r="H131" s="3" t="s">
        <v>20</v>
      </c>
      <c r="I131" s="3" t="s">
        <v>20</v>
      </c>
      <c r="J131" s="4" t="s">
        <v>21</v>
      </c>
      <c r="K131" s="5" t="s">
        <v>22</v>
      </c>
      <c r="L131" s="6" t="s">
        <v>23</v>
      </c>
      <c r="M131" s="6" t="s">
        <v>23</v>
      </c>
      <c r="N131" s="6" t="s">
        <v>23</v>
      </c>
      <c r="O131" s="3">
        <f>VALUE(RIGHT(F131,1))</f>
        <v>1</v>
      </c>
    </row>
    <row r="132" ht="48" customHeight="1" spans="1:15" x14ac:dyDescent="0.25">
      <c r="A132" s="3" t="s">
        <v>337</v>
      </c>
      <c r="B132" s="4" t="s">
        <v>290</v>
      </c>
      <c r="C132" s="4" t="s">
        <v>333</v>
      </c>
      <c r="D132" s="3" t="s">
        <v>62</v>
      </c>
      <c r="E132" s="4" t="s">
        <v>338</v>
      </c>
      <c r="F132" s="3" t="s">
        <v>7</v>
      </c>
      <c r="G132" s="3" t="s">
        <v>23</v>
      </c>
      <c r="H132" s="3" t="s">
        <v>20</v>
      </c>
      <c r="I132" s="3" t="s">
        <v>20</v>
      </c>
      <c r="J132" s="4" t="s">
        <v>21</v>
      </c>
      <c r="K132" s="5" t="s">
        <v>22</v>
      </c>
      <c r="L132" s="6" t="s">
        <v>23</v>
      </c>
      <c r="M132" s="6" t="s">
        <v>23</v>
      </c>
      <c r="N132" s="6" t="s">
        <v>23</v>
      </c>
      <c r="O132" s="3">
        <f>VALUE(RIGHT(F132,1))</f>
        <v>2</v>
      </c>
    </row>
    <row r="133" ht="62" customHeight="1" spans="1:15" x14ac:dyDescent="0.25">
      <c r="A133" s="3" t="s">
        <v>339</v>
      </c>
      <c r="B133" s="4" t="s">
        <v>290</v>
      </c>
      <c r="C133" s="4" t="s">
        <v>333</v>
      </c>
      <c r="D133" s="3" t="s">
        <v>62</v>
      </c>
      <c r="E133" s="4" t="s">
        <v>340</v>
      </c>
      <c r="F133" s="3" t="s">
        <v>6</v>
      </c>
      <c r="G133" s="3" t="s">
        <v>20</v>
      </c>
      <c r="H133" s="3" t="s">
        <v>20</v>
      </c>
      <c r="I133" s="3" t="s">
        <v>20</v>
      </c>
      <c r="J133" s="4" t="s">
        <v>21</v>
      </c>
      <c r="K133" s="5" t="s">
        <v>22</v>
      </c>
      <c r="L133" s="6" t="s">
        <v>23</v>
      </c>
      <c r="M133" s="6" t="s">
        <v>23</v>
      </c>
      <c r="N133" s="6" t="s">
        <v>23</v>
      </c>
      <c r="O133" s="3">
        <f>VALUE(RIGHT(F133,1))</f>
        <v>1</v>
      </c>
    </row>
    <row r="134" ht="48" customHeight="1" spans="1:15" x14ac:dyDescent="0.25">
      <c r="A134" s="3" t="s">
        <v>341</v>
      </c>
      <c r="B134" s="4" t="s">
        <v>290</v>
      </c>
      <c r="C134" s="4" t="s">
        <v>333</v>
      </c>
      <c r="D134" s="3" t="s">
        <v>62</v>
      </c>
      <c r="E134" s="4" t="s">
        <v>342</v>
      </c>
      <c r="F134" s="3" t="s">
        <v>6</v>
      </c>
      <c r="G134" s="3" t="s">
        <v>20</v>
      </c>
      <c r="H134" s="3" t="s">
        <v>20</v>
      </c>
      <c r="I134" s="3" t="s">
        <v>20</v>
      </c>
      <c r="J134" s="4" t="s">
        <v>21</v>
      </c>
      <c r="K134" s="5" t="s">
        <v>22</v>
      </c>
      <c r="L134" s="6" t="s">
        <v>23</v>
      </c>
      <c r="M134" s="6" t="s">
        <v>23</v>
      </c>
      <c r="N134" s="6" t="s">
        <v>23</v>
      </c>
      <c r="O134" s="3">
        <f>VALUE(RIGHT(F134,1))</f>
        <v>1</v>
      </c>
    </row>
    <row r="135" ht="48" customHeight="1" spans="1:15" x14ac:dyDescent="0.25">
      <c r="A135" s="3" t="s">
        <v>343</v>
      </c>
      <c r="B135" s="4" t="s">
        <v>290</v>
      </c>
      <c r="C135" s="4" t="s">
        <v>333</v>
      </c>
      <c r="D135" s="3" t="s">
        <v>62</v>
      </c>
      <c r="E135" s="4" t="s">
        <v>344</v>
      </c>
      <c r="F135" s="3" t="s">
        <v>7</v>
      </c>
      <c r="G135" s="3" t="s">
        <v>23</v>
      </c>
      <c r="H135" s="3" t="s">
        <v>20</v>
      </c>
      <c r="I135" s="3" t="s">
        <v>20</v>
      </c>
      <c r="J135" s="4" t="s">
        <v>21</v>
      </c>
      <c r="K135" s="5" t="s">
        <v>22</v>
      </c>
      <c r="L135" s="6" t="s">
        <v>23</v>
      </c>
      <c r="M135" s="6" t="s">
        <v>23</v>
      </c>
      <c r="N135" s="6" t="s">
        <v>23</v>
      </c>
      <c r="O135" s="3">
        <f>VALUE(RIGHT(F135,1))</f>
        <v>2</v>
      </c>
    </row>
    <row r="136" ht="62" customHeight="1" spans="1:15" x14ac:dyDescent="0.25">
      <c r="A136" s="3" t="s">
        <v>345</v>
      </c>
      <c r="B136" s="4" t="s">
        <v>290</v>
      </c>
      <c r="C136" s="4" t="s">
        <v>346</v>
      </c>
      <c r="D136" s="3" t="s">
        <v>111</v>
      </c>
      <c r="E136" s="4" t="s">
        <v>347</v>
      </c>
      <c r="F136" s="3" t="s">
        <v>6</v>
      </c>
      <c r="G136" s="3" t="s">
        <v>20</v>
      </c>
      <c r="H136" s="3" t="s">
        <v>20</v>
      </c>
      <c r="I136" s="3" t="s">
        <v>20</v>
      </c>
      <c r="J136" s="4" t="s">
        <v>348</v>
      </c>
      <c r="K136" s="5" t="s">
        <v>22</v>
      </c>
      <c r="L136" s="6" t="s">
        <v>23</v>
      </c>
      <c r="M136" s="6" t="s">
        <v>23</v>
      </c>
      <c r="N136" s="6" t="s">
        <v>23</v>
      </c>
      <c r="O136" s="3">
        <f>VALUE(RIGHT(F136,1))</f>
        <v>1</v>
      </c>
    </row>
    <row r="137" ht="62" customHeight="1" spans="1:15" x14ac:dyDescent="0.25">
      <c r="A137" s="3" t="s">
        <v>349</v>
      </c>
      <c r="B137" s="4" t="s">
        <v>290</v>
      </c>
      <c r="C137" s="4" t="s">
        <v>346</v>
      </c>
      <c r="D137" s="3" t="s">
        <v>111</v>
      </c>
      <c r="E137" s="4" t="s">
        <v>350</v>
      </c>
      <c r="F137" s="3" t="s">
        <v>7</v>
      </c>
      <c r="G137" s="3" t="s">
        <v>23</v>
      </c>
      <c r="H137" s="3" t="s">
        <v>20</v>
      </c>
      <c r="I137" s="3" t="s">
        <v>20</v>
      </c>
      <c r="J137" s="4" t="s">
        <v>348</v>
      </c>
      <c r="K137" s="5" t="s">
        <v>22</v>
      </c>
      <c r="L137" s="6" t="s">
        <v>23</v>
      </c>
      <c r="M137" s="6" t="s">
        <v>23</v>
      </c>
      <c r="N137" s="6" t="s">
        <v>23</v>
      </c>
      <c r="O137" s="3">
        <f>VALUE(RIGHT(F137,1))</f>
        <v>2</v>
      </c>
    </row>
    <row r="138" ht="62" customHeight="1" spans="1:15" x14ac:dyDescent="0.25">
      <c r="A138" s="3" t="s">
        <v>351</v>
      </c>
      <c r="B138" s="4" t="s">
        <v>290</v>
      </c>
      <c r="C138" s="4" t="s">
        <v>346</v>
      </c>
      <c r="D138" s="3" t="s">
        <v>111</v>
      </c>
      <c r="E138" s="4" t="s">
        <v>352</v>
      </c>
      <c r="F138" s="3" t="s">
        <v>7</v>
      </c>
      <c r="G138" s="3" t="s">
        <v>23</v>
      </c>
      <c r="H138" s="3" t="s">
        <v>20</v>
      </c>
      <c r="I138" s="3" t="s">
        <v>20</v>
      </c>
      <c r="J138" s="4" t="s">
        <v>348</v>
      </c>
      <c r="K138" s="5" t="s">
        <v>22</v>
      </c>
      <c r="L138" s="6" t="s">
        <v>23</v>
      </c>
      <c r="M138" s="6" t="s">
        <v>23</v>
      </c>
      <c r="N138" s="6" t="s">
        <v>23</v>
      </c>
      <c r="O138" s="3">
        <f>VALUE(RIGHT(F138,1))</f>
        <v>2</v>
      </c>
    </row>
    <row r="139" ht="62" customHeight="1" spans="1:15" x14ac:dyDescent="0.25">
      <c r="A139" s="3" t="s">
        <v>353</v>
      </c>
      <c r="B139" s="4" t="s">
        <v>290</v>
      </c>
      <c r="C139" s="4" t="s">
        <v>346</v>
      </c>
      <c r="D139" s="3" t="s">
        <v>62</v>
      </c>
      <c r="E139" s="4" t="s">
        <v>354</v>
      </c>
      <c r="F139" s="3" t="s">
        <v>7</v>
      </c>
      <c r="G139" s="3" t="s">
        <v>23</v>
      </c>
      <c r="H139" s="3" t="s">
        <v>20</v>
      </c>
      <c r="I139" s="3" t="s">
        <v>20</v>
      </c>
      <c r="J139" s="4" t="s">
        <v>348</v>
      </c>
      <c r="K139" s="5" t="s">
        <v>22</v>
      </c>
      <c r="L139" s="6" t="s">
        <v>23</v>
      </c>
      <c r="M139" s="6" t="s">
        <v>23</v>
      </c>
      <c r="N139" s="6" t="s">
        <v>23</v>
      </c>
      <c r="O139" s="3">
        <f>VALUE(RIGHT(F139,1))</f>
        <v>2</v>
      </c>
    </row>
    <row r="140" ht="76" customHeight="1" spans="1:15" x14ac:dyDescent="0.25">
      <c r="A140" s="3" t="s">
        <v>355</v>
      </c>
      <c r="B140" s="4" t="s">
        <v>356</v>
      </c>
      <c r="C140" s="4" t="s">
        <v>357</v>
      </c>
      <c r="D140" s="3" t="s">
        <v>62</v>
      </c>
      <c r="E140" s="4" t="s">
        <v>358</v>
      </c>
      <c r="F140" s="3" t="s">
        <v>6</v>
      </c>
      <c r="G140" s="3" t="s">
        <v>20</v>
      </c>
      <c r="H140" s="3" t="s">
        <v>20</v>
      </c>
      <c r="I140" s="3" t="s">
        <v>20</v>
      </c>
      <c r="J140" s="4" t="s">
        <v>21</v>
      </c>
      <c r="K140" s="5" t="s">
        <v>22</v>
      </c>
      <c r="L140" s="6" t="s">
        <v>23</v>
      </c>
      <c r="M140" s="6" t="s">
        <v>23</v>
      </c>
      <c r="N140" s="6" t="s">
        <v>23</v>
      </c>
      <c r="O140" s="3">
        <f>VALUE(RIGHT(F140,1))</f>
        <v>1</v>
      </c>
    </row>
    <row r="141" ht="48" customHeight="1" spans="1:15" x14ac:dyDescent="0.25">
      <c r="A141" s="3" t="s">
        <v>359</v>
      </c>
      <c r="B141" s="4" t="s">
        <v>356</v>
      </c>
      <c r="C141" s="4" t="s">
        <v>357</v>
      </c>
      <c r="D141" s="3" t="s">
        <v>62</v>
      </c>
      <c r="E141" s="4" t="s">
        <v>360</v>
      </c>
      <c r="F141" s="3" t="s">
        <v>7</v>
      </c>
      <c r="G141" s="3" t="s">
        <v>23</v>
      </c>
      <c r="H141" s="3" t="s">
        <v>20</v>
      </c>
      <c r="I141" s="3" t="s">
        <v>20</v>
      </c>
      <c r="J141" s="4" t="s">
        <v>21</v>
      </c>
      <c r="K141" s="5" t="s">
        <v>22</v>
      </c>
      <c r="L141" s="6" t="s">
        <v>23</v>
      </c>
      <c r="M141" s="6" t="s">
        <v>23</v>
      </c>
      <c r="N141" s="6" t="s">
        <v>23</v>
      </c>
      <c r="O141" s="3">
        <f>VALUE(RIGHT(F141,1))</f>
        <v>2</v>
      </c>
    </row>
    <row r="142" ht="62" customHeight="1" spans="1:15" x14ac:dyDescent="0.25">
      <c r="A142" s="3" t="s">
        <v>361</v>
      </c>
      <c r="B142" s="4" t="s">
        <v>356</v>
      </c>
      <c r="C142" s="4" t="s">
        <v>357</v>
      </c>
      <c r="D142" s="3" t="s">
        <v>62</v>
      </c>
      <c r="E142" s="4" t="s">
        <v>362</v>
      </c>
      <c r="F142" s="3" t="s">
        <v>7</v>
      </c>
      <c r="G142" s="3" t="s">
        <v>23</v>
      </c>
      <c r="H142" s="3" t="s">
        <v>20</v>
      </c>
      <c r="I142" s="3" t="s">
        <v>20</v>
      </c>
      <c r="J142" s="4" t="s">
        <v>21</v>
      </c>
      <c r="K142" s="5" t="s">
        <v>22</v>
      </c>
      <c r="L142" s="6" t="s">
        <v>23</v>
      </c>
      <c r="M142" s="6" t="s">
        <v>23</v>
      </c>
      <c r="N142" s="6" t="s">
        <v>23</v>
      </c>
      <c r="O142" s="3">
        <f>VALUE(RIGHT(F142,1))</f>
        <v>2</v>
      </c>
    </row>
    <row r="143" ht="48" customHeight="1" spans="1:15" x14ac:dyDescent="0.25">
      <c r="A143" s="3" t="s">
        <v>363</v>
      </c>
      <c r="B143" s="4" t="s">
        <v>356</v>
      </c>
      <c r="C143" s="4" t="s">
        <v>364</v>
      </c>
      <c r="D143" s="3" t="s">
        <v>62</v>
      </c>
      <c r="E143" s="4" t="s">
        <v>365</v>
      </c>
      <c r="F143" s="3" t="s">
        <v>6</v>
      </c>
      <c r="G143" s="3" t="s">
        <v>20</v>
      </c>
      <c r="H143" s="3" t="s">
        <v>20</v>
      </c>
      <c r="I143" s="3" t="s">
        <v>20</v>
      </c>
      <c r="J143" s="4" t="s">
        <v>21</v>
      </c>
      <c r="K143" s="5" t="s">
        <v>22</v>
      </c>
      <c r="L143" s="6" t="s">
        <v>23</v>
      </c>
      <c r="M143" s="6" t="s">
        <v>23</v>
      </c>
      <c r="N143" s="6" t="s">
        <v>23</v>
      </c>
      <c r="O143" s="3">
        <f>VALUE(RIGHT(F143,1))</f>
        <v>1</v>
      </c>
    </row>
    <row r="144" ht="62" customHeight="1" spans="1:15" x14ac:dyDescent="0.25">
      <c r="A144" s="3" t="s">
        <v>366</v>
      </c>
      <c r="B144" s="4" t="s">
        <v>356</v>
      </c>
      <c r="C144" s="4" t="s">
        <v>364</v>
      </c>
      <c r="D144" s="3" t="s">
        <v>62</v>
      </c>
      <c r="E144" s="4" t="s">
        <v>367</v>
      </c>
      <c r="F144" s="3" t="s">
        <v>7</v>
      </c>
      <c r="G144" s="3" t="s">
        <v>23</v>
      </c>
      <c r="H144" s="3" t="s">
        <v>20</v>
      </c>
      <c r="I144" s="3" t="s">
        <v>20</v>
      </c>
      <c r="J144" s="4" t="s">
        <v>21</v>
      </c>
      <c r="K144" s="5" t="s">
        <v>22</v>
      </c>
      <c r="L144" s="6" t="s">
        <v>23</v>
      </c>
      <c r="M144" s="6" t="s">
        <v>23</v>
      </c>
      <c r="N144" s="6" t="s">
        <v>23</v>
      </c>
      <c r="O144" s="3">
        <f>VALUE(RIGHT(F144,1))</f>
        <v>2</v>
      </c>
    </row>
    <row r="145" ht="48" customHeight="1" spans="1:15" x14ac:dyDescent="0.25">
      <c r="A145" s="3" t="s">
        <v>368</v>
      </c>
      <c r="B145" s="4" t="s">
        <v>356</v>
      </c>
      <c r="C145" s="4" t="s">
        <v>364</v>
      </c>
      <c r="D145" s="3" t="s">
        <v>62</v>
      </c>
      <c r="E145" s="4" t="s">
        <v>369</v>
      </c>
      <c r="F145" s="3" t="s">
        <v>7</v>
      </c>
      <c r="G145" s="3" t="s">
        <v>23</v>
      </c>
      <c r="H145" s="3" t="s">
        <v>20</v>
      </c>
      <c r="I145" s="3" t="s">
        <v>20</v>
      </c>
      <c r="J145" s="4" t="s">
        <v>21</v>
      </c>
      <c r="K145" s="5" t="s">
        <v>22</v>
      </c>
      <c r="L145" s="6" t="s">
        <v>23</v>
      </c>
      <c r="M145" s="6" t="s">
        <v>23</v>
      </c>
      <c r="N145" s="6" t="s">
        <v>23</v>
      </c>
      <c r="O145" s="3">
        <f>VALUE(RIGHT(F145,1))</f>
        <v>2</v>
      </c>
    </row>
    <row r="146" ht="90" customHeight="1" spans="1:15" x14ac:dyDescent="0.25">
      <c r="A146" s="3" t="s">
        <v>370</v>
      </c>
      <c r="B146" s="4" t="s">
        <v>356</v>
      </c>
      <c r="C146" s="4" t="s">
        <v>364</v>
      </c>
      <c r="D146" s="3" t="s">
        <v>62</v>
      </c>
      <c r="E146" s="4" t="s">
        <v>371</v>
      </c>
      <c r="F146" s="3" t="s">
        <v>8</v>
      </c>
      <c r="G146" s="3" t="s">
        <v>23</v>
      </c>
      <c r="H146" s="3" t="s">
        <v>23</v>
      </c>
      <c r="I146" s="3" t="s">
        <v>20</v>
      </c>
      <c r="J146" s="4" t="s">
        <v>21</v>
      </c>
      <c r="K146" s="5" t="s">
        <v>22</v>
      </c>
      <c r="L146" s="6" t="s">
        <v>23</v>
      </c>
      <c r="M146" s="6" t="s">
        <v>23</v>
      </c>
      <c r="N146" s="6" t="s">
        <v>23</v>
      </c>
      <c r="O146" s="3">
        <f>VALUE(RIGHT(F146,1))</f>
        <v>3</v>
      </c>
    </row>
    <row r="147" ht="34" customHeight="1" spans="1:15" x14ac:dyDescent="0.25">
      <c r="A147" s="3" t="s">
        <v>372</v>
      </c>
      <c r="B147" s="4" t="s">
        <v>356</v>
      </c>
      <c r="C147" s="4" t="s">
        <v>373</v>
      </c>
      <c r="D147" s="3" t="s">
        <v>111</v>
      </c>
      <c r="E147" s="4" t="s">
        <v>374</v>
      </c>
      <c r="F147" s="3" t="s">
        <v>6</v>
      </c>
      <c r="G147" s="3" t="s">
        <v>20</v>
      </c>
      <c r="H147" s="3" t="s">
        <v>20</v>
      </c>
      <c r="I147" s="3" t="s">
        <v>20</v>
      </c>
      <c r="J147" s="4" t="s">
        <v>21</v>
      </c>
      <c r="K147" s="5" t="s">
        <v>22</v>
      </c>
      <c r="L147" s="6" t="s">
        <v>23</v>
      </c>
      <c r="M147" s="6" t="s">
        <v>23</v>
      </c>
      <c r="N147" s="6" t="s">
        <v>23</v>
      </c>
      <c r="O147" s="3">
        <f>VALUE(RIGHT(F147,1))</f>
        <v>1</v>
      </c>
    </row>
    <row r="148" ht="48" customHeight="1" spans="1:15" x14ac:dyDescent="0.25">
      <c r="A148" s="3" t="s">
        <v>375</v>
      </c>
      <c r="B148" s="4" t="s">
        <v>356</v>
      </c>
      <c r="C148" s="4" t="s">
        <v>373</v>
      </c>
      <c r="D148" s="3" t="s">
        <v>111</v>
      </c>
      <c r="E148" s="4" t="s">
        <v>376</v>
      </c>
      <c r="F148" s="3" t="s">
        <v>6</v>
      </c>
      <c r="G148" s="3" t="s">
        <v>20</v>
      </c>
      <c r="H148" s="3" t="s">
        <v>20</v>
      </c>
      <c r="I148" s="3" t="s">
        <v>20</v>
      </c>
      <c r="J148" s="4" t="s">
        <v>21</v>
      </c>
      <c r="K148" s="5" t="s">
        <v>22</v>
      </c>
      <c r="L148" s="6" t="s">
        <v>23</v>
      </c>
      <c r="M148" s="6" t="s">
        <v>23</v>
      </c>
      <c r="N148" s="6" t="s">
        <v>23</v>
      </c>
      <c r="O148" s="3">
        <f>VALUE(RIGHT(F148,1))</f>
        <v>1</v>
      </c>
    </row>
    <row r="149" ht="34" customHeight="1" spans="1:15" x14ac:dyDescent="0.25">
      <c r="A149" s="3" t="s">
        <v>377</v>
      </c>
      <c r="B149" s="4" t="s">
        <v>356</v>
      </c>
      <c r="C149" s="4" t="s">
        <v>373</v>
      </c>
      <c r="D149" s="3" t="s">
        <v>111</v>
      </c>
      <c r="E149" s="4" t="s">
        <v>378</v>
      </c>
      <c r="F149" s="3" t="s">
        <v>7</v>
      </c>
      <c r="G149" s="3" t="s">
        <v>23</v>
      </c>
      <c r="H149" s="3" t="s">
        <v>20</v>
      </c>
      <c r="I149" s="3" t="s">
        <v>20</v>
      </c>
      <c r="J149" s="4" t="s">
        <v>21</v>
      </c>
      <c r="K149" s="5" t="s">
        <v>22</v>
      </c>
      <c r="L149" s="6" t="s">
        <v>23</v>
      </c>
      <c r="M149" s="6" t="s">
        <v>23</v>
      </c>
      <c r="N149" s="6" t="s">
        <v>23</v>
      </c>
      <c r="O149" s="3">
        <f>VALUE(RIGHT(F149,1))</f>
        <v>2</v>
      </c>
    </row>
    <row r="150" ht="48" customHeight="1" spans="1:15" x14ac:dyDescent="0.25">
      <c r="A150" s="3" t="s">
        <v>379</v>
      </c>
      <c r="B150" s="4" t="s">
        <v>356</v>
      </c>
      <c r="C150" s="4" t="s">
        <v>380</v>
      </c>
      <c r="D150" s="3" t="s">
        <v>62</v>
      </c>
      <c r="E150" s="4" t="s">
        <v>381</v>
      </c>
      <c r="F150" s="3" t="s">
        <v>7</v>
      </c>
      <c r="G150" s="3" t="s">
        <v>23</v>
      </c>
      <c r="H150" s="3" t="s">
        <v>20</v>
      </c>
      <c r="I150" s="3" t="s">
        <v>20</v>
      </c>
      <c r="J150" s="4" t="s">
        <v>382</v>
      </c>
      <c r="K150" s="5" t="s">
        <v>22</v>
      </c>
      <c r="L150" s="6" t="s">
        <v>23</v>
      </c>
      <c r="M150" s="6" t="s">
        <v>23</v>
      </c>
      <c r="N150" s="6" t="s">
        <v>23</v>
      </c>
      <c r="O150" s="3">
        <f>VALUE(RIGHT(F150,1))</f>
        <v>2</v>
      </c>
    </row>
    <row r="151" ht="48" customHeight="1" spans="1:15" x14ac:dyDescent="0.25">
      <c r="A151" s="3" t="s">
        <v>383</v>
      </c>
      <c r="B151" s="4" t="s">
        <v>356</v>
      </c>
      <c r="C151" s="4" t="s">
        <v>380</v>
      </c>
      <c r="D151" s="3" t="s">
        <v>62</v>
      </c>
      <c r="E151" s="4" t="s">
        <v>384</v>
      </c>
      <c r="F151" s="3" t="s">
        <v>7</v>
      </c>
      <c r="G151" s="3" t="s">
        <v>23</v>
      </c>
      <c r="H151" s="3" t="s">
        <v>20</v>
      </c>
      <c r="I151" s="3" t="s">
        <v>20</v>
      </c>
      <c r="J151" s="4" t="s">
        <v>382</v>
      </c>
      <c r="K151" s="5" t="s">
        <v>22</v>
      </c>
      <c r="L151" s="6" t="s">
        <v>23</v>
      </c>
      <c r="M151" s="6" t="s">
        <v>23</v>
      </c>
      <c r="N151" s="6" t="s">
        <v>23</v>
      </c>
      <c r="O151" s="3">
        <f>VALUE(RIGHT(F151,1))</f>
        <v>2</v>
      </c>
    </row>
    <row r="152" ht="48" customHeight="1" spans="1:15" x14ac:dyDescent="0.25">
      <c r="A152" s="3" t="s">
        <v>385</v>
      </c>
      <c r="B152" s="4" t="s">
        <v>356</v>
      </c>
      <c r="C152" s="4" t="s">
        <v>380</v>
      </c>
      <c r="D152" s="3" t="s">
        <v>62</v>
      </c>
      <c r="E152" s="4" t="s">
        <v>386</v>
      </c>
      <c r="F152" s="3" t="s">
        <v>7</v>
      </c>
      <c r="G152" s="3" t="s">
        <v>23</v>
      </c>
      <c r="H152" s="3" t="s">
        <v>20</v>
      </c>
      <c r="I152" s="3" t="s">
        <v>20</v>
      </c>
      <c r="J152" s="4" t="s">
        <v>382</v>
      </c>
      <c r="K152" s="5" t="s">
        <v>22</v>
      </c>
      <c r="L152" s="6" t="s">
        <v>23</v>
      </c>
      <c r="M152" s="6" t="s">
        <v>23</v>
      </c>
      <c r="N152" s="6" t="s">
        <v>23</v>
      </c>
      <c r="O152" s="3">
        <f>VALUE(RIGHT(F152,1))</f>
        <v>2</v>
      </c>
    </row>
    <row r="153" ht="76" customHeight="1" spans="1:15" x14ac:dyDescent="0.25">
      <c r="A153" s="3" t="s">
        <v>387</v>
      </c>
      <c r="B153" s="4" t="s">
        <v>388</v>
      </c>
      <c r="C153" s="4" t="s">
        <v>389</v>
      </c>
      <c r="D153" s="3" t="s">
        <v>32</v>
      </c>
      <c r="E153" s="4" t="s">
        <v>390</v>
      </c>
      <c r="F153" s="3" t="s">
        <v>6</v>
      </c>
      <c r="G153" s="3" t="s">
        <v>20</v>
      </c>
      <c r="H153" s="3" t="s">
        <v>20</v>
      </c>
      <c r="I153" s="3" t="s">
        <v>20</v>
      </c>
      <c r="J153" s="4" t="s">
        <v>391</v>
      </c>
      <c r="K153" s="5" t="s">
        <v>22</v>
      </c>
      <c r="L153" s="6" t="s">
        <v>23</v>
      </c>
      <c r="M153" s="6" t="s">
        <v>23</v>
      </c>
      <c r="N153" s="6" t="s">
        <v>23</v>
      </c>
      <c r="O153" s="3">
        <f>VALUE(RIGHT(F153,1))</f>
        <v>1</v>
      </c>
    </row>
    <row r="154" ht="76" customHeight="1" spans="1:15" x14ac:dyDescent="0.25">
      <c r="A154" s="3" t="s">
        <v>392</v>
      </c>
      <c r="B154" s="4" t="s">
        <v>388</v>
      </c>
      <c r="C154" s="4" t="s">
        <v>389</v>
      </c>
      <c r="D154" s="3" t="s">
        <v>32</v>
      </c>
      <c r="E154" s="4" t="s">
        <v>393</v>
      </c>
      <c r="F154" s="3" t="s">
        <v>6</v>
      </c>
      <c r="G154" s="3" t="s">
        <v>20</v>
      </c>
      <c r="H154" s="3" t="s">
        <v>20</v>
      </c>
      <c r="I154" s="3" t="s">
        <v>20</v>
      </c>
      <c r="J154" s="4" t="s">
        <v>391</v>
      </c>
      <c r="K154" s="5" t="s">
        <v>22</v>
      </c>
      <c r="L154" s="6" t="s">
        <v>23</v>
      </c>
      <c r="M154" s="6" t="s">
        <v>23</v>
      </c>
      <c r="N154" s="6" t="s">
        <v>23</v>
      </c>
      <c r="O154" s="3">
        <f>VALUE(RIGHT(F154,1))</f>
        <v>1</v>
      </c>
    </row>
    <row r="155" ht="76" customHeight="1" spans="1:15" x14ac:dyDescent="0.25">
      <c r="A155" s="3" t="s">
        <v>394</v>
      </c>
      <c r="B155" s="4" t="s">
        <v>388</v>
      </c>
      <c r="C155" s="4" t="s">
        <v>389</v>
      </c>
      <c r="D155" s="3" t="s">
        <v>32</v>
      </c>
      <c r="E155" s="4" t="s">
        <v>395</v>
      </c>
      <c r="F155" s="3" t="s">
        <v>7</v>
      </c>
      <c r="G155" s="3" t="s">
        <v>23</v>
      </c>
      <c r="H155" s="3" t="s">
        <v>20</v>
      </c>
      <c r="I155" s="3" t="s">
        <v>20</v>
      </c>
      <c r="J155" s="4" t="s">
        <v>391</v>
      </c>
      <c r="K155" s="5" t="s">
        <v>22</v>
      </c>
      <c r="L155" s="6" t="s">
        <v>23</v>
      </c>
      <c r="M155" s="6" t="s">
        <v>23</v>
      </c>
      <c r="N155" s="6" t="s">
        <v>23</v>
      </c>
      <c r="O155" s="3">
        <f>VALUE(RIGHT(F155,1))</f>
        <v>2</v>
      </c>
    </row>
    <row r="156" ht="76" customHeight="1" spans="1:15" x14ac:dyDescent="0.25">
      <c r="A156" s="3" t="s">
        <v>396</v>
      </c>
      <c r="B156" s="4" t="s">
        <v>388</v>
      </c>
      <c r="C156" s="4" t="s">
        <v>389</v>
      </c>
      <c r="D156" s="3" t="s">
        <v>32</v>
      </c>
      <c r="E156" s="4" t="s">
        <v>397</v>
      </c>
      <c r="F156" s="3" t="s">
        <v>7</v>
      </c>
      <c r="G156" s="3" t="s">
        <v>23</v>
      </c>
      <c r="H156" s="3" t="s">
        <v>20</v>
      </c>
      <c r="I156" s="3" t="s">
        <v>20</v>
      </c>
      <c r="J156" s="4" t="s">
        <v>391</v>
      </c>
      <c r="K156" s="5" t="s">
        <v>22</v>
      </c>
      <c r="L156" s="6" t="s">
        <v>23</v>
      </c>
      <c r="M156" s="6" t="s">
        <v>23</v>
      </c>
      <c r="N156" s="6" t="s">
        <v>23</v>
      </c>
      <c r="O156" s="3">
        <f>VALUE(RIGHT(F156,1))</f>
        <v>2</v>
      </c>
    </row>
    <row r="157" ht="48" customHeight="1" spans="1:15" x14ac:dyDescent="0.25">
      <c r="A157" s="3" t="s">
        <v>398</v>
      </c>
      <c r="B157" s="4" t="s">
        <v>388</v>
      </c>
      <c r="C157" s="4" t="s">
        <v>399</v>
      </c>
      <c r="D157" s="3" t="s">
        <v>62</v>
      </c>
      <c r="E157" s="4" t="s">
        <v>400</v>
      </c>
      <c r="F157" s="3" t="s">
        <v>6</v>
      </c>
      <c r="G157" s="3" t="s">
        <v>20</v>
      </c>
      <c r="H157" s="3" t="s">
        <v>20</v>
      </c>
      <c r="I157" s="3" t="s">
        <v>20</v>
      </c>
      <c r="J157" s="4" t="s">
        <v>401</v>
      </c>
      <c r="K157" s="5" t="s">
        <v>22</v>
      </c>
      <c r="L157" s="6" t="s">
        <v>23</v>
      </c>
      <c r="M157" s="6" t="s">
        <v>23</v>
      </c>
      <c r="N157" s="6" t="s">
        <v>23</v>
      </c>
      <c r="O157" s="3">
        <f>VALUE(RIGHT(F157,1))</f>
        <v>1</v>
      </c>
    </row>
    <row r="158" ht="48" customHeight="1" spans="1:15" x14ac:dyDescent="0.25">
      <c r="A158" s="3" t="s">
        <v>402</v>
      </c>
      <c r="B158" s="4" t="s">
        <v>388</v>
      </c>
      <c r="C158" s="4" t="s">
        <v>399</v>
      </c>
      <c r="D158" s="3" t="s">
        <v>403</v>
      </c>
      <c r="E158" s="4" t="s">
        <v>404</v>
      </c>
      <c r="F158" s="3" t="s">
        <v>7</v>
      </c>
      <c r="G158" s="3" t="s">
        <v>23</v>
      </c>
      <c r="H158" s="3" t="s">
        <v>20</v>
      </c>
      <c r="I158" s="3" t="s">
        <v>20</v>
      </c>
      <c r="J158" s="4" t="s">
        <v>401</v>
      </c>
      <c r="K158" s="5" t="s">
        <v>22</v>
      </c>
      <c r="L158" s="6" t="s">
        <v>23</v>
      </c>
      <c r="M158" s="6" t="s">
        <v>23</v>
      </c>
      <c r="N158" s="6" t="s">
        <v>23</v>
      </c>
      <c r="O158" s="3">
        <f>VALUE(RIGHT(F158,1))</f>
        <v>2</v>
      </c>
    </row>
    <row r="159" ht="48" customHeight="1" spans="1:15" x14ac:dyDescent="0.25">
      <c r="A159" s="3" t="s">
        <v>405</v>
      </c>
      <c r="B159" s="4" t="s">
        <v>388</v>
      </c>
      <c r="C159" s="4" t="s">
        <v>406</v>
      </c>
      <c r="D159" s="3" t="s">
        <v>62</v>
      </c>
      <c r="E159" s="4" t="s">
        <v>407</v>
      </c>
      <c r="F159" s="3" t="s">
        <v>7</v>
      </c>
      <c r="G159" s="3" t="s">
        <v>23</v>
      </c>
      <c r="H159" s="3" t="s">
        <v>20</v>
      </c>
      <c r="I159" s="3" t="s">
        <v>20</v>
      </c>
      <c r="J159" s="4" t="s">
        <v>408</v>
      </c>
      <c r="K159" s="5" t="s">
        <v>22</v>
      </c>
      <c r="L159" s="6" t="s">
        <v>23</v>
      </c>
      <c r="M159" s="6" t="s">
        <v>23</v>
      </c>
      <c r="N159" s="6" t="s">
        <v>23</v>
      </c>
      <c r="O159" s="3">
        <f>VALUE(RIGHT(F159,1))</f>
        <v>2</v>
      </c>
    </row>
    <row r="160" ht="48" customHeight="1" spans="1:15" x14ac:dyDescent="0.25">
      <c r="A160" s="3" t="s">
        <v>409</v>
      </c>
      <c r="B160" s="4" t="s">
        <v>388</v>
      </c>
      <c r="C160" s="4" t="s">
        <v>406</v>
      </c>
      <c r="D160" s="3" t="s">
        <v>62</v>
      </c>
      <c r="E160" s="4" t="s">
        <v>410</v>
      </c>
      <c r="F160" s="3" t="s">
        <v>7</v>
      </c>
      <c r="G160" s="3" t="s">
        <v>23</v>
      </c>
      <c r="H160" s="3" t="s">
        <v>20</v>
      </c>
      <c r="I160" s="3" t="s">
        <v>20</v>
      </c>
      <c r="J160" s="4" t="s">
        <v>408</v>
      </c>
      <c r="K160" s="5" t="s">
        <v>22</v>
      </c>
      <c r="L160" s="6" t="s">
        <v>23</v>
      </c>
      <c r="M160" s="6" t="s">
        <v>23</v>
      </c>
      <c r="N160" s="6" t="s">
        <v>23</v>
      </c>
      <c r="O160" s="3">
        <f>VALUE(RIGHT(F160,1))</f>
        <v>2</v>
      </c>
    </row>
    <row r="161" ht="62" customHeight="1" spans="1:15" x14ac:dyDescent="0.25">
      <c r="A161" s="3" t="s">
        <v>411</v>
      </c>
      <c r="B161" s="4" t="s">
        <v>388</v>
      </c>
      <c r="C161" s="4" t="s">
        <v>412</v>
      </c>
      <c r="D161" s="3" t="s">
        <v>32</v>
      </c>
      <c r="E161" s="4" t="s">
        <v>413</v>
      </c>
      <c r="F161" s="3" t="s">
        <v>6</v>
      </c>
      <c r="G161" s="3" t="s">
        <v>20</v>
      </c>
      <c r="H161" s="3" t="s">
        <v>20</v>
      </c>
      <c r="I161" s="3" t="s">
        <v>20</v>
      </c>
      <c r="J161" s="4" t="s">
        <v>21</v>
      </c>
      <c r="K161" s="5" t="s">
        <v>22</v>
      </c>
      <c r="L161" s="6" t="s">
        <v>23</v>
      </c>
      <c r="M161" s="6" t="s">
        <v>23</v>
      </c>
      <c r="N161" s="6" t="s">
        <v>23</v>
      </c>
      <c r="O161" s="3">
        <f>VALUE(RIGHT(F161,1))</f>
        <v>1</v>
      </c>
    </row>
    <row r="162" ht="34" customHeight="1" spans="1:15" x14ac:dyDescent="0.25">
      <c r="A162" s="3" t="s">
        <v>414</v>
      </c>
      <c r="B162" s="4" t="s">
        <v>388</v>
      </c>
      <c r="C162" s="4" t="s">
        <v>412</v>
      </c>
      <c r="D162" s="3" t="s">
        <v>32</v>
      </c>
      <c r="E162" s="4" t="s">
        <v>415</v>
      </c>
      <c r="F162" s="3" t="s">
        <v>6</v>
      </c>
      <c r="G162" s="3" t="s">
        <v>20</v>
      </c>
      <c r="H162" s="3" t="s">
        <v>20</v>
      </c>
      <c r="I162" s="3" t="s">
        <v>20</v>
      </c>
      <c r="J162" s="4" t="s">
        <v>21</v>
      </c>
      <c r="K162" s="5" t="s">
        <v>22</v>
      </c>
      <c r="L162" s="6" t="s">
        <v>23</v>
      </c>
      <c r="M162" s="6" t="s">
        <v>23</v>
      </c>
      <c r="N162" s="6" t="s">
        <v>23</v>
      </c>
      <c r="O162" s="3">
        <f>VALUE(RIGHT(F162,1))</f>
        <v>1</v>
      </c>
    </row>
    <row r="163" ht="34" customHeight="1" spans="1:15" x14ac:dyDescent="0.25">
      <c r="A163" s="3" t="s">
        <v>416</v>
      </c>
      <c r="B163" s="4" t="s">
        <v>388</v>
      </c>
      <c r="C163" s="4" t="s">
        <v>412</v>
      </c>
      <c r="D163" s="3" t="s">
        <v>32</v>
      </c>
      <c r="E163" s="4" t="s">
        <v>417</v>
      </c>
      <c r="F163" s="3" t="s">
        <v>7</v>
      </c>
      <c r="G163" s="3" t="s">
        <v>23</v>
      </c>
      <c r="H163" s="3" t="s">
        <v>20</v>
      </c>
      <c r="I163" s="3" t="s">
        <v>20</v>
      </c>
      <c r="J163" s="4" t="s">
        <v>21</v>
      </c>
      <c r="K163" s="5" t="s">
        <v>22</v>
      </c>
      <c r="L163" s="6" t="s">
        <v>23</v>
      </c>
      <c r="M163" s="6" t="s">
        <v>23</v>
      </c>
      <c r="N163" s="6" t="s">
        <v>23</v>
      </c>
      <c r="O163" s="3">
        <f>VALUE(RIGHT(F163,1))</f>
        <v>2</v>
      </c>
    </row>
    <row r="164" ht="34" customHeight="1" spans="1:15" x14ac:dyDescent="0.25">
      <c r="A164" s="3" t="s">
        <v>418</v>
      </c>
      <c r="B164" s="4" t="s">
        <v>388</v>
      </c>
      <c r="C164" s="4" t="s">
        <v>419</v>
      </c>
      <c r="D164" s="3" t="s">
        <v>32</v>
      </c>
      <c r="E164" s="4" t="s">
        <v>420</v>
      </c>
      <c r="F164" s="3" t="s">
        <v>7</v>
      </c>
      <c r="G164" s="3" t="s">
        <v>23</v>
      </c>
      <c r="H164" s="3" t="s">
        <v>20</v>
      </c>
      <c r="I164" s="3" t="s">
        <v>20</v>
      </c>
      <c r="J164" s="4" t="s">
        <v>21</v>
      </c>
      <c r="K164" s="5" t="s">
        <v>22</v>
      </c>
      <c r="L164" s="6" t="s">
        <v>23</v>
      </c>
      <c r="M164" s="6" t="s">
        <v>23</v>
      </c>
      <c r="N164" s="6" t="s">
        <v>23</v>
      </c>
      <c r="O164" s="3">
        <f>VALUE(RIGHT(F164,1))</f>
        <v>2</v>
      </c>
    </row>
    <row r="165" ht="34" customHeight="1" spans="1:15" x14ac:dyDescent="0.25">
      <c r="A165" s="3" t="s">
        <v>421</v>
      </c>
      <c r="B165" s="4" t="s">
        <v>388</v>
      </c>
      <c r="C165" s="4" t="s">
        <v>419</v>
      </c>
      <c r="D165" s="3" t="s">
        <v>32</v>
      </c>
      <c r="E165" s="4" t="s">
        <v>422</v>
      </c>
      <c r="F165" s="3" t="s">
        <v>7</v>
      </c>
      <c r="G165" s="3" t="s">
        <v>23</v>
      </c>
      <c r="H165" s="3" t="s">
        <v>20</v>
      </c>
      <c r="I165" s="3" t="s">
        <v>20</v>
      </c>
      <c r="J165" s="4" t="s">
        <v>21</v>
      </c>
      <c r="K165" s="5" t="s">
        <v>22</v>
      </c>
      <c r="L165" s="6" t="s">
        <v>23</v>
      </c>
      <c r="M165" s="6" t="s">
        <v>23</v>
      </c>
      <c r="N165" s="6" t="s">
        <v>23</v>
      </c>
      <c r="O165" s="3">
        <f>VALUE(RIGHT(F165,1))</f>
        <v>2</v>
      </c>
    </row>
    <row r="166" ht="48" customHeight="1" spans="1:15" x14ac:dyDescent="0.25">
      <c r="A166" s="3" t="s">
        <v>423</v>
      </c>
      <c r="B166" s="4" t="s">
        <v>388</v>
      </c>
      <c r="C166" s="4" t="s">
        <v>419</v>
      </c>
      <c r="D166" s="3" t="s">
        <v>32</v>
      </c>
      <c r="E166" s="4" t="s">
        <v>424</v>
      </c>
      <c r="F166" s="3" t="s">
        <v>7</v>
      </c>
      <c r="G166" s="3" t="s">
        <v>23</v>
      </c>
      <c r="H166" s="3" t="s">
        <v>20</v>
      </c>
      <c r="I166" s="3" t="s">
        <v>20</v>
      </c>
      <c r="J166" s="4" t="s">
        <v>21</v>
      </c>
      <c r="K166" s="5" t="s">
        <v>22</v>
      </c>
      <c r="L166" s="6" t="s">
        <v>23</v>
      </c>
      <c r="M166" s="6" t="s">
        <v>23</v>
      </c>
      <c r="N166" s="6" t="s">
        <v>23</v>
      </c>
      <c r="O166" s="3">
        <f>VALUE(RIGHT(F166,1))</f>
        <v>2</v>
      </c>
    </row>
    <row r="167" ht="48" customHeight="1" spans="1:15" x14ac:dyDescent="0.25">
      <c r="A167" s="3" t="s">
        <v>425</v>
      </c>
      <c r="B167" s="4" t="s">
        <v>388</v>
      </c>
      <c r="C167" s="4" t="s">
        <v>419</v>
      </c>
      <c r="D167" s="3" t="s">
        <v>65</v>
      </c>
      <c r="E167" s="4" t="s">
        <v>426</v>
      </c>
      <c r="F167" s="3" t="s">
        <v>6</v>
      </c>
      <c r="G167" s="3" t="s">
        <v>20</v>
      </c>
      <c r="H167" s="3" t="s">
        <v>20</v>
      </c>
      <c r="I167" s="3" t="s">
        <v>20</v>
      </c>
      <c r="J167" s="4" t="s">
        <v>21</v>
      </c>
      <c r="K167" s="5" t="s">
        <v>22</v>
      </c>
      <c r="L167" s="6" t="s">
        <v>23</v>
      </c>
      <c r="M167" s="6" t="s">
        <v>23</v>
      </c>
      <c r="N167" s="6" t="s">
        <v>23</v>
      </c>
      <c r="O167" s="3">
        <f>VALUE(RIGHT(F167,1))</f>
        <v>1</v>
      </c>
    </row>
    <row r="168" ht="62" customHeight="1" spans="1:15" x14ac:dyDescent="0.25">
      <c r="A168" s="3" t="s">
        <v>427</v>
      </c>
      <c r="B168" s="4" t="s">
        <v>388</v>
      </c>
      <c r="C168" s="4" t="s">
        <v>428</v>
      </c>
      <c r="D168" s="3" t="s">
        <v>65</v>
      </c>
      <c r="E168" s="4" t="s">
        <v>429</v>
      </c>
      <c r="F168" s="3" t="s">
        <v>7</v>
      </c>
      <c r="G168" s="3" t="s">
        <v>23</v>
      </c>
      <c r="H168" s="3" t="s">
        <v>20</v>
      </c>
      <c r="I168" s="3" t="s">
        <v>20</v>
      </c>
      <c r="J168" s="4" t="s">
        <v>430</v>
      </c>
      <c r="K168" s="5" t="s">
        <v>22</v>
      </c>
      <c r="L168" s="6" t="s">
        <v>23</v>
      </c>
      <c r="M168" s="6" t="s">
        <v>23</v>
      </c>
      <c r="N168" s="6" t="s">
        <v>23</v>
      </c>
      <c r="O168" s="3">
        <f>VALUE(RIGHT(F168,1))</f>
        <v>2</v>
      </c>
    </row>
    <row r="169" ht="62" customHeight="1" spans="1:15" x14ac:dyDescent="0.25">
      <c r="A169" s="3" t="s">
        <v>431</v>
      </c>
      <c r="B169" s="4" t="s">
        <v>388</v>
      </c>
      <c r="C169" s="4" t="s">
        <v>428</v>
      </c>
      <c r="D169" s="3" t="s">
        <v>62</v>
      </c>
      <c r="E169" s="4" t="s">
        <v>432</v>
      </c>
      <c r="F169" s="3" t="s">
        <v>7</v>
      </c>
      <c r="G169" s="3" t="s">
        <v>23</v>
      </c>
      <c r="H169" s="3" t="s">
        <v>20</v>
      </c>
      <c r="I169" s="3" t="s">
        <v>20</v>
      </c>
      <c r="J169" s="4" t="s">
        <v>430</v>
      </c>
      <c r="K169" s="5" t="s">
        <v>22</v>
      </c>
      <c r="L169" s="6" t="s">
        <v>23</v>
      </c>
      <c r="M169" s="6" t="s">
        <v>23</v>
      </c>
      <c r="N169" s="6" t="s">
        <v>23</v>
      </c>
      <c r="O169" s="3">
        <f>VALUE(RIGHT(F169,1))</f>
        <v>2</v>
      </c>
    </row>
    <row r="170" ht="62" customHeight="1" spans="1:15" x14ac:dyDescent="0.25">
      <c r="A170" s="3" t="s">
        <v>433</v>
      </c>
      <c r="B170" s="4" t="s">
        <v>388</v>
      </c>
      <c r="C170" s="4" t="s">
        <v>428</v>
      </c>
      <c r="D170" s="3" t="s">
        <v>65</v>
      </c>
      <c r="E170" s="4" t="s">
        <v>434</v>
      </c>
      <c r="F170" s="3" t="s">
        <v>7</v>
      </c>
      <c r="G170" s="3" t="s">
        <v>23</v>
      </c>
      <c r="H170" s="3" t="s">
        <v>20</v>
      </c>
      <c r="I170" s="3" t="s">
        <v>20</v>
      </c>
      <c r="J170" s="4" t="s">
        <v>430</v>
      </c>
      <c r="K170" s="5" t="s">
        <v>22</v>
      </c>
      <c r="L170" s="6" t="s">
        <v>23</v>
      </c>
      <c r="M170" s="6" t="s">
        <v>23</v>
      </c>
      <c r="N170" s="6" t="s">
        <v>23</v>
      </c>
      <c r="O170" s="3">
        <f>VALUE(RIGHT(F170,1))</f>
        <v>2</v>
      </c>
    </row>
    <row r="171" ht="62" customHeight="1" spans="1:15" x14ac:dyDescent="0.25">
      <c r="A171" s="3" t="s">
        <v>435</v>
      </c>
      <c r="B171" s="4" t="s">
        <v>436</v>
      </c>
      <c r="C171" s="4" t="s">
        <v>437</v>
      </c>
      <c r="D171" s="3" t="s">
        <v>403</v>
      </c>
      <c r="E171" s="4" t="s">
        <v>438</v>
      </c>
      <c r="F171" s="3" t="s">
        <v>6</v>
      </c>
      <c r="G171" s="3" t="s">
        <v>20</v>
      </c>
      <c r="H171" s="3" t="s">
        <v>20</v>
      </c>
      <c r="I171" s="3" t="s">
        <v>20</v>
      </c>
      <c r="J171" s="4" t="s">
        <v>439</v>
      </c>
      <c r="K171" s="5" t="s">
        <v>22</v>
      </c>
      <c r="L171" s="6" t="s">
        <v>23</v>
      </c>
      <c r="M171" s="6" t="s">
        <v>23</v>
      </c>
      <c r="N171" s="6" t="s">
        <v>23</v>
      </c>
      <c r="O171" s="3">
        <f>VALUE(RIGHT(F171,1))</f>
        <v>1</v>
      </c>
    </row>
    <row r="172" ht="48" customHeight="1" spans="1:15" x14ac:dyDescent="0.25">
      <c r="A172" s="3" t="s">
        <v>440</v>
      </c>
      <c r="B172" s="4" t="s">
        <v>436</v>
      </c>
      <c r="C172" s="4" t="s">
        <v>437</v>
      </c>
      <c r="D172" s="3" t="s">
        <v>403</v>
      </c>
      <c r="E172" s="4" t="s">
        <v>441</v>
      </c>
      <c r="F172" s="3" t="s">
        <v>6</v>
      </c>
      <c r="G172" s="3" t="s">
        <v>20</v>
      </c>
      <c r="H172" s="3" t="s">
        <v>20</v>
      </c>
      <c r="I172" s="3" t="s">
        <v>20</v>
      </c>
      <c r="J172" s="4" t="s">
        <v>439</v>
      </c>
      <c r="K172" s="5" t="s">
        <v>22</v>
      </c>
      <c r="L172" s="6" t="s">
        <v>23</v>
      </c>
      <c r="M172" s="6" t="s">
        <v>23</v>
      </c>
      <c r="N172" s="6" t="s">
        <v>23</v>
      </c>
      <c r="O172" s="3">
        <f>VALUE(RIGHT(F172,1))</f>
        <v>1</v>
      </c>
    </row>
    <row r="173" ht="62" customHeight="1" spans="1:15" x14ac:dyDescent="0.25">
      <c r="A173" s="3" t="s">
        <v>442</v>
      </c>
      <c r="B173" s="4" t="s">
        <v>436</v>
      </c>
      <c r="C173" s="4" t="s">
        <v>437</v>
      </c>
      <c r="D173" s="3" t="s">
        <v>403</v>
      </c>
      <c r="E173" s="4" t="s">
        <v>443</v>
      </c>
      <c r="F173" s="3" t="s">
        <v>7</v>
      </c>
      <c r="G173" s="3" t="s">
        <v>23</v>
      </c>
      <c r="H173" s="3" t="s">
        <v>20</v>
      </c>
      <c r="I173" s="3" t="s">
        <v>20</v>
      </c>
      <c r="J173" s="4" t="s">
        <v>439</v>
      </c>
      <c r="K173" s="5" t="s">
        <v>22</v>
      </c>
      <c r="L173" s="6" t="s">
        <v>23</v>
      </c>
      <c r="M173" s="6" t="s">
        <v>23</v>
      </c>
      <c r="N173" s="6" t="s">
        <v>23</v>
      </c>
      <c r="O173" s="3">
        <f>VALUE(RIGHT(F173,1))</f>
        <v>2</v>
      </c>
    </row>
    <row r="174" ht="48" customHeight="1" spans="1:15" x14ac:dyDescent="0.25">
      <c r="A174" s="3" t="s">
        <v>444</v>
      </c>
      <c r="B174" s="4" t="s">
        <v>436</v>
      </c>
      <c r="C174" s="4" t="s">
        <v>445</v>
      </c>
      <c r="D174" s="3" t="s">
        <v>65</v>
      </c>
      <c r="E174" s="4" t="s">
        <v>446</v>
      </c>
      <c r="F174" s="3" t="s">
        <v>6</v>
      </c>
      <c r="G174" s="3" t="s">
        <v>20</v>
      </c>
      <c r="H174" s="3" t="s">
        <v>20</v>
      </c>
      <c r="I174" s="3" t="s">
        <v>20</v>
      </c>
      <c r="J174" s="4" t="s">
        <v>447</v>
      </c>
      <c r="K174" s="5" t="s">
        <v>22</v>
      </c>
      <c r="L174" s="6" t="s">
        <v>23</v>
      </c>
      <c r="M174" s="6" t="s">
        <v>23</v>
      </c>
      <c r="N174" s="6" t="s">
        <v>23</v>
      </c>
      <c r="O174" s="3">
        <f>VALUE(RIGHT(F174,1))</f>
        <v>1</v>
      </c>
    </row>
    <row r="175" ht="48" customHeight="1" spans="1:15" x14ac:dyDescent="0.25">
      <c r="A175" s="3" t="s">
        <v>448</v>
      </c>
      <c r="B175" s="4" t="s">
        <v>436</v>
      </c>
      <c r="C175" s="4" t="s">
        <v>445</v>
      </c>
      <c r="D175" s="3" t="s">
        <v>65</v>
      </c>
      <c r="E175" s="4" t="s">
        <v>449</v>
      </c>
      <c r="F175" s="3" t="s">
        <v>6</v>
      </c>
      <c r="G175" s="3" t="s">
        <v>20</v>
      </c>
      <c r="H175" s="3" t="s">
        <v>20</v>
      </c>
      <c r="I175" s="3" t="s">
        <v>20</v>
      </c>
      <c r="J175" s="4" t="s">
        <v>447</v>
      </c>
      <c r="K175" s="5" t="s">
        <v>22</v>
      </c>
      <c r="L175" s="6" t="s">
        <v>23</v>
      </c>
      <c r="M175" s="6" t="s">
        <v>23</v>
      </c>
      <c r="N175" s="6" t="s">
        <v>23</v>
      </c>
      <c r="O175" s="3">
        <f>VALUE(RIGHT(F175,1))</f>
        <v>1</v>
      </c>
    </row>
    <row r="176" ht="48" customHeight="1" spans="1:15" x14ac:dyDescent="0.25">
      <c r="A176" s="3" t="s">
        <v>450</v>
      </c>
      <c r="B176" s="4" t="s">
        <v>436</v>
      </c>
      <c r="C176" s="4" t="s">
        <v>445</v>
      </c>
      <c r="D176" s="3" t="s">
        <v>65</v>
      </c>
      <c r="E176" s="4" t="s">
        <v>451</v>
      </c>
      <c r="F176" s="3" t="s">
        <v>7</v>
      </c>
      <c r="G176" s="3" t="s">
        <v>23</v>
      </c>
      <c r="H176" s="3" t="s">
        <v>20</v>
      </c>
      <c r="I176" s="3" t="s">
        <v>20</v>
      </c>
      <c r="J176" s="4" t="s">
        <v>447</v>
      </c>
      <c r="K176" s="5" t="s">
        <v>22</v>
      </c>
      <c r="L176" s="6" t="s">
        <v>23</v>
      </c>
      <c r="M176" s="6" t="s">
        <v>23</v>
      </c>
      <c r="N176" s="6" t="s">
        <v>23</v>
      </c>
      <c r="O176" s="3">
        <f>VALUE(RIGHT(F176,1))</f>
        <v>2</v>
      </c>
    </row>
    <row r="177" ht="48" customHeight="1" spans="1:15" x14ac:dyDescent="0.25">
      <c r="A177" s="3" t="s">
        <v>452</v>
      </c>
      <c r="B177" s="4" t="s">
        <v>436</v>
      </c>
      <c r="C177" s="4" t="s">
        <v>453</v>
      </c>
      <c r="D177" s="3" t="s">
        <v>403</v>
      </c>
      <c r="E177" s="4" t="s">
        <v>454</v>
      </c>
      <c r="F177" s="3" t="s">
        <v>7</v>
      </c>
      <c r="G177" s="3" t="s">
        <v>23</v>
      </c>
      <c r="H177" s="3" t="s">
        <v>20</v>
      </c>
      <c r="I177" s="3" t="s">
        <v>20</v>
      </c>
      <c r="J177" s="4" t="s">
        <v>455</v>
      </c>
      <c r="K177" s="5" t="s">
        <v>22</v>
      </c>
      <c r="L177" s="6" t="s">
        <v>23</v>
      </c>
      <c r="M177" s="6" t="s">
        <v>23</v>
      </c>
      <c r="N177" s="6" t="s">
        <v>23</v>
      </c>
      <c r="O177" s="3">
        <f>VALUE(RIGHT(F177,1))</f>
        <v>2</v>
      </c>
    </row>
    <row r="178" ht="48" customHeight="1" spans="1:15" x14ac:dyDescent="0.25">
      <c r="A178" s="3" t="s">
        <v>456</v>
      </c>
      <c r="B178" s="4" t="s">
        <v>436</v>
      </c>
      <c r="C178" s="4" t="s">
        <v>453</v>
      </c>
      <c r="D178" s="3" t="s">
        <v>403</v>
      </c>
      <c r="E178" s="4" t="s">
        <v>457</v>
      </c>
      <c r="F178" s="3" t="s">
        <v>6</v>
      </c>
      <c r="G178" s="3" t="s">
        <v>20</v>
      </c>
      <c r="H178" s="3" t="s">
        <v>20</v>
      </c>
      <c r="I178" s="3" t="s">
        <v>20</v>
      </c>
      <c r="J178" s="4" t="s">
        <v>455</v>
      </c>
      <c r="K178" s="5" t="s">
        <v>22</v>
      </c>
      <c r="L178" s="6" t="s">
        <v>23</v>
      </c>
      <c r="M178" s="6" t="s">
        <v>23</v>
      </c>
      <c r="N178" s="6" t="s">
        <v>23</v>
      </c>
      <c r="O178" s="3">
        <f>VALUE(RIGHT(F178,1))</f>
        <v>1</v>
      </c>
    </row>
    <row r="179" ht="48" customHeight="1" spans="1:15" x14ac:dyDescent="0.25">
      <c r="A179" s="3" t="s">
        <v>458</v>
      </c>
      <c r="B179" s="4" t="s">
        <v>436</v>
      </c>
      <c r="C179" s="4" t="s">
        <v>453</v>
      </c>
      <c r="D179" s="3" t="s">
        <v>403</v>
      </c>
      <c r="E179" s="4" t="s">
        <v>459</v>
      </c>
      <c r="F179" s="3" t="s">
        <v>7</v>
      </c>
      <c r="G179" s="3" t="s">
        <v>23</v>
      </c>
      <c r="H179" s="3" t="s">
        <v>20</v>
      </c>
      <c r="I179" s="3" t="s">
        <v>20</v>
      </c>
      <c r="J179" s="4" t="s">
        <v>455</v>
      </c>
      <c r="K179" s="5" t="s">
        <v>22</v>
      </c>
      <c r="L179" s="6" t="s">
        <v>23</v>
      </c>
      <c r="M179" s="6" t="s">
        <v>23</v>
      </c>
      <c r="N179" s="6" t="s">
        <v>23</v>
      </c>
      <c r="O179" s="3">
        <f>VALUE(RIGHT(F179,1))</f>
        <v>2</v>
      </c>
    </row>
    <row r="180" ht="48" customHeight="1" spans="1:15" x14ac:dyDescent="0.25">
      <c r="A180" s="3" t="s">
        <v>460</v>
      </c>
      <c r="B180" s="4" t="s">
        <v>436</v>
      </c>
      <c r="C180" s="4" t="s">
        <v>461</v>
      </c>
      <c r="D180" s="3" t="s">
        <v>403</v>
      </c>
      <c r="E180" s="4" t="s">
        <v>462</v>
      </c>
      <c r="F180" s="3" t="s">
        <v>7</v>
      </c>
      <c r="G180" s="3" t="s">
        <v>23</v>
      </c>
      <c r="H180" s="3" t="s">
        <v>20</v>
      </c>
      <c r="I180" s="3" t="s">
        <v>20</v>
      </c>
      <c r="J180" s="4" t="s">
        <v>455</v>
      </c>
      <c r="K180" s="5" t="s">
        <v>22</v>
      </c>
      <c r="L180" s="6" t="s">
        <v>23</v>
      </c>
      <c r="M180" s="6" t="s">
        <v>23</v>
      </c>
      <c r="N180" s="6" t="s">
        <v>23</v>
      </c>
      <c r="O180" s="3">
        <f>VALUE(RIGHT(F180,1))</f>
        <v>2</v>
      </c>
    </row>
    <row r="181" ht="48" customHeight="1" spans="1:15" x14ac:dyDescent="0.25">
      <c r="A181" s="3" t="s">
        <v>463</v>
      </c>
      <c r="B181" s="4" t="s">
        <v>436</v>
      </c>
      <c r="C181" s="4" t="s">
        <v>461</v>
      </c>
      <c r="D181" s="3" t="s">
        <v>403</v>
      </c>
      <c r="E181" s="4" t="s">
        <v>464</v>
      </c>
      <c r="F181" s="3" t="s">
        <v>7</v>
      </c>
      <c r="G181" s="3" t="s">
        <v>23</v>
      </c>
      <c r="H181" s="3" t="s">
        <v>20</v>
      </c>
      <c r="I181" s="3" t="s">
        <v>20</v>
      </c>
      <c r="J181" s="4" t="s">
        <v>455</v>
      </c>
      <c r="K181" s="5" t="s">
        <v>22</v>
      </c>
      <c r="L181" s="6" t="s">
        <v>23</v>
      </c>
      <c r="M181" s="6" t="s">
        <v>23</v>
      </c>
      <c r="N181" s="6" t="s">
        <v>23</v>
      </c>
      <c r="O181" s="3">
        <f>VALUE(RIGHT(F181,1))</f>
        <v>2</v>
      </c>
    </row>
    <row r="182" ht="48" customHeight="1" spans="1:15" x14ac:dyDescent="0.25">
      <c r="A182" s="3" t="s">
        <v>465</v>
      </c>
      <c r="B182" s="4" t="s">
        <v>436</v>
      </c>
      <c r="C182" s="4" t="s">
        <v>461</v>
      </c>
      <c r="D182" s="3" t="s">
        <v>62</v>
      </c>
      <c r="E182" s="4" t="s">
        <v>466</v>
      </c>
      <c r="F182" s="3" t="s">
        <v>7</v>
      </c>
      <c r="G182" s="3" t="s">
        <v>23</v>
      </c>
      <c r="H182" s="3" t="s">
        <v>20</v>
      </c>
      <c r="I182" s="3" t="s">
        <v>20</v>
      </c>
      <c r="J182" s="4" t="s">
        <v>455</v>
      </c>
      <c r="K182" s="5" t="s">
        <v>22</v>
      </c>
      <c r="L182" s="6" t="s">
        <v>23</v>
      </c>
      <c r="M182" s="6" t="s">
        <v>23</v>
      </c>
      <c r="N182" s="6" t="s">
        <v>23</v>
      </c>
      <c r="O182" s="3">
        <f>VALUE(RIGHT(F182,1))</f>
        <v>2</v>
      </c>
    </row>
    <row r="183" ht="48" customHeight="1" spans="1:15" x14ac:dyDescent="0.25">
      <c r="A183" s="3" t="s">
        <v>467</v>
      </c>
      <c r="B183" s="4" t="s">
        <v>436</v>
      </c>
      <c r="C183" s="4" t="s">
        <v>461</v>
      </c>
      <c r="D183" s="3" t="s">
        <v>403</v>
      </c>
      <c r="E183" s="4" t="s">
        <v>468</v>
      </c>
      <c r="F183" s="3" t="s">
        <v>7</v>
      </c>
      <c r="G183" s="3" t="s">
        <v>23</v>
      </c>
      <c r="H183" s="3" t="s">
        <v>20</v>
      </c>
      <c r="I183" s="3" t="s">
        <v>20</v>
      </c>
      <c r="J183" s="4" t="s">
        <v>455</v>
      </c>
      <c r="K183" s="5" t="s">
        <v>22</v>
      </c>
      <c r="L183" s="6" t="s">
        <v>23</v>
      </c>
      <c r="M183" s="6" t="s">
        <v>23</v>
      </c>
      <c r="N183" s="6" t="s">
        <v>23</v>
      </c>
      <c r="O183" s="3">
        <f>VALUE(RIGHT(F183,1))</f>
        <v>2</v>
      </c>
    </row>
    <row r="184" ht="48" customHeight="1" spans="1:15" x14ac:dyDescent="0.25">
      <c r="A184" s="3" t="s">
        <v>469</v>
      </c>
      <c r="B184" s="4" t="s">
        <v>436</v>
      </c>
      <c r="C184" s="4" t="s">
        <v>470</v>
      </c>
      <c r="D184" s="3" t="s">
        <v>403</v>
      </c>
      <c r="E184" s="4" t="s">
        <v>471</v>
      </c>
      <c r="F184" s="3" t="s">
        <v>7</v>
      </c>
      <c r="G184" s="3" t="s">
        <v>23</v>
      </c>
      <c r="H184" s="3" t="s">
        <v>20</v>
      </c>
      <c r="I184" s="3" t="s">
        <v>20</v>
      </c>
      <c r="J184" s="4" t="s">
        <v>21</v>
      </c>
      <c r="K184" s="5" t="s">
        <v>22</v>
      </c>
      <c r="L184" s="6" t="s">
        <v>23</v>
      </c>
      <c r="M184" s="6" t="s">
        <v>23</v>
      </c>
      <c r="N184" s="6" t="s">
        <v>23</v>
      </c>
      <c r="O184" s="3">
        <f>VALUE(RIGHT(F184,1))</f>
        <v>2</v>
      </c>
    </row>
    <row r="185" ht="48" customHeight="1" spans="1:15" x14ac:dyDescent="0.25">
      <c r="A185" s="3" t="s">
        <v>472</v>
      </c>
      <c r="B185" s="4" t="s">
        <v>436</v>
      </c>
      <c r="C185" s="4" t="s">
        <v>470</v>
      </c>
      <c r="D185" s="3" t="s">
        <v>403</v>
      </c>
      <c r="E185" s="4" t="s">
        <v>473</v>
      </c>
      <c r="F185" s="3" t="s">
        <v>7</v>
      </c>
      <c r="G185" s="3" t="s">
        <v>23</v>
      </c>
      <c r="H185" s="3" t="s">
        <v>20</v>
      </c>
      <c r="I185" s="3" t="s">
        <v>20</v>
      </c>
      <c r="J185" s="4" t="s">
        <v>21</v>
      </c>
      <c r="K185" s="5" t="s">
        <v>22</v>
      </c>
      <c r="L185" s="6" t="s">
        <v>23</v>
      </c>
      <c r="M185" s="6" t="s">
        <v>23</v>
      </c>
      <c r="N185" s="6" t="s">
        <v>23</v>
      </c>
      <c r="O185" s="3">
        <f>VALUE(RIGHT(F185,1))</f>
        <v>2</v>
      </c>
    </row>
    <row r="186" ht="48" customHeight="1" spans="1:15" x14ac:dyDescent="0.25">
      <c r="A186" s="3" t="s">
        <v>474</v>
      </c>
      <c r="B186" s="4" t="s">
        <v>436</v>
      </c>
      <c r="C186" s="4" t="s">
        <v>470</v>
      </c>
      <c r="D186" s="3" t="s">
        <v>76</v>
      </c>
      <c r="E186" s="4" t="s">
        <v>475</v>
      </c>
      <c r="F186" s="3" t="s">
        <v>8</v>
      </c>
      <c r="G186" s="3" t="s">
        <v>23</v>
      </c>
      <c r="H186" s="3" t="s">
        <v>23</v>
      </c>
      <c r="I186" s="3" t="s">
        <v>20</v>
      </c>
      <c r="J186" s="4" t="s">
        <v>21</v>
      </c>
      <c r="K186" s="5" t="s">
        <v>22</v>
      </c>
      <c r="L186" s="6" t="s">
        <v>23</v>
      </c>
      <c r="M186" s="6" t="s">
        <v>23</v>
      </c>
      <c r="N186" s="6" t="s">
        <v>23</v>
      </c>
      <c r="O186" s="3">
        <f>VALUE(RIGHT(F186,1))</f>
        <v>3</v>
      </c>
    </row>
    <row r="187" ht="48" customHeight="1" spans="1:15" x14ac:dyDescent="0.25">
      <c r="A187" s="3" t="s">
        <v>476</v>
      </c>
      <c r="B187" s="4" t="s">
        <v>436</v>
      </c>
      <c r="C187" s="4" t="s">
        <v>477</v>
      </c>
      <c r="D187" s="3" t="s">
        <v>403</v>
      </c>
      <c r="E187" s="4" t="s">
        <v>478</v>
      </c>
      <c r="F187" s="3" t="s">
        <v>7</v>
      </c>
      <c r="G187" s="3" t="s">
        <v>23</v>
      </c>
      <c r="H187" s="3" t="s">
        <v>20</v>
      </c>
      <c r="I187" s="3" t="s">
        <v>20</v>
      </c>
      <c r="J187" s="4" t="s">
        <v>21</v>
      </c>
      <c r="K187" s="5" t="s">
        <v>22</v>
      </c>
      <c r="L187" s="6" t="s">
        <v>23</v>
      </c>
      <c r="M187" s="6" t="s">
        <v>23</v>
      </c>
      <c r="N187" s="6" t="s">
        <v>23</v>
      </c>
      <c r="O187" s="3">
        <f>VALUE(RIGHT(F187,1))</f>
        <v>2</v>
      </c>
    </row>
    <row r="188" ht="48" customHeight="1" spans="1:15" x14ac:dyDescent="0.25">
      <c r="A188" s="3" t="s">
        <v>479</v>
      </c>
      <c r="B188" s="4" t="s">
        <v>436</v>
      </c>
      <c r="C188" s="4" t="s">
        <v>477</v>
      </c>
      <c r="D188" s="3" t="s">
        <v>32</v>
      </c>
      <c r="E188" s="4" t="s">
        <v>480</v>
      </c>
      <c r="F188" s="3" t="s">
        <v>7</v>
      </c>
      <c r="G188" s="3" t="s">
        <v>23</v>
      </c>
      <c r="H188" s="3" t="s">
        <v>20</v>
      </c>
      <c r="I188" s="3" t="s">
        <v>20</v>
      </c>
      <c r="J188" s="4" t="s">
        <v>21</v>
      </c>
      <c r="K188" s="5" t="s">
        <v>22</v>
      </c>
      <c r="L188" s="6" t="s">
        <v>23</v>
      </c>
      <c r="M188" s="6" t="s">
        <v>23</v>
      </c>
      <c r="N188" s="6" t="s">
        <v>23</v>
      </c>
      <c r="O188" s="3">
        <f>VALUE(RIGHT(F188,1))</f>
        <v>2</v>
      </c>
    </row>
    <row r="189" ht="48" customHeight="1" spans="1:15" x14ac:dyDescent="0.25">
      <c r="A189" s="3" t="s">
        <v>481</v>
      </c>
      <c r="B189" s="4" t="s">
        <v>436</v>
      </c>
      <c r="C189" s="4" t="s">
        <v>477</v>
      </c>
      <c r="D189" s="3" t="s">
        <v>403</v>
      </c>
      <c r="E189" s="4" t="s">
        <v>482</v>
      </c>
      <c r="F189" s="3" t="s">
        <v>7</v>
      </c>
      <c r="G189" s="3" t="s">
        <v>23</v>
      </c>
      <c r="H189" s="3" t="s">
        <v>20</v>
      </c>
      <c r="I189" s="3" t="s">
        <v>20</v>
      </c>
      <c r="J189" s="4" t="s">
        <v>21</v>
      </c>
      <c r="K189" s="5" t="s">
        <v>22</v>
      </c>
      <c r="L189" s="6" t="s">
        <v>23</v>
      </c>
      <c r="M189" s="6" t="s">
        <v>23</v>
      </c>
      <c r="N189" s="6" t="s">
        <v>23</v>
      </c>
      <c r="O189" s="3">
        <f>VALUE(RIGHT(F189,1))</f>
        <v>2</v>
      </c>
    </row>
    <row r="190" ht="48" customHeight="1" spans="1:15" x14ac:dyDescent="0.25">
      <c r="A190" s="3" t="s">
        <v>483</v>
      </c>
      <c r="B190" s="4" t="s">
        <v>436</v>
      </c>
      <c r="C190" s="4" t="s">
        <v>477</v>
      </c>
      <c r="D190" s="3" t="s">
        <v>111</v>
      </c>
      <c r="E190" s="4" t="s">
        <v>484</v>
      </c>
      <c r="F190" s="3" t="s">
        <v>7</v>
      </c>
      <c r="G190" s="3" t="s">
        <v>23</v>
      </c>
      <c r="H190" s="3" t="s">
        <v>20</v>
      </c>
      <c r="I190" s="3" t="s">
        <v>20</v>
      </c>
      <c r="J190" s="4" t="s">
        <v>21</v>
      </c>
      <c r="K190" s="5" t="s">
        <v>22</v>
      </c>
      <c r="L190" s="6" t="s">
        <v>23</v>
      </c>
      <c r="M190" s="6" t="s">
        <v>23</v>
      </c>
      <c r="N190" s="6" t="s">
        <v>23</v>
      </c>
      <c r="O190" s="3">
        <f>VALUE(RIGHT(F190,1))</f>
        <v>2</v>
      </c>
    </row>
    <row r="191" ht="104" customHeight="1" spans="1:15" x14ac:dyDescent="0.25">
      <c r="A191" s="3" t="s">
        <v>485</v>
      </c>
      <c r="B191" s="4" t="s">
        <v>436</v>
      </c>
      <c r="C191" s="4" t="s">
        <v>486</v>
      </c>
      <c r="D191" s="3" t="s">
        <v>62</v>
      </c>
      <c r="E191" s="4" t="s">
        <v>487</v>
      </c>
      <c r="F191" s="3" t="s">
        <v>7</v>
      </c>
      <c r="G191" s="3" t="s">
        <v>23</v>
      </c>
      <c r="H191" s="3" t="s">
        <v>20</v>
      </c>
      <c r="I191" s="3" t="s">
        <v>20</v>
      </c>
      <c r="J191" s="4" t="s">
        <v>488</v>
      </c>
      <c r="K191" s="5" t="s">
        <v>22</v>
      </c>
      <c r="L191" s="6" t="s">
        <v>23</v>
      </c>
      <c r="M191" s="6" t="s">
        <v>23</v>
      </c>
      <c r="N191" s="6" t="s">
        <v>23</v>
      </c>
      <c r="O191" s="3">
        <f>VALUE(RIGHT(F191,1))</f>
        <v>2</v>
      </c>
    </row>
    <row r="192" ht="104" customHeight="1" spans="1:15" x14ac:dyDescent="0.25">
      <c r="A192" s="3" t="s">
        <v>489</v>
      </c>
      <c r="B192" s="4" t="s">
        <v>436</v>
      </c>
      <c r="C192" s="4" t="s">
        <v>486</v>
      </c>
      <c r="D192" s="3" t="s">
        <v>62</v>
      </c>
      <c r="E192" s="4" t="s">
        <v>490</v>
      </c>
      <c r="F192" s="3" t="s">
        <v>7</v>
      </c>
      <c r="G192" s="3" t="s">
        <v>23</v>
      </c>
      <c r="H192" s="3" t="s">
        <v>20</v>
      </c>
      <c r="I192" s="3" t="s">
        <v>20</v>
      </c>
      <c r="J192" s="4" t="s">
        <v>488</v>
      </c>
      <c r="K192" s="5" t="s">
        <v>22</v>
      </c>
      <c r="L192" s="6" t="s">
        <v>23</v>
      </c>
      <c r="M192" s="6" t="s">
        <v>23</v>
      </c>
      <c r="N192" s="6" t="s">
        <v>23</v>
      </c>
      <c r="O192" s="3">
        <f>VALUE(RIGHT(F192,1))</f>
        <v>2</v>
      </c>
    </row>
    <row r="193" ht="34" customHeight="1" spans="1:15" x14ac:dyDescent="0.25">
      <c r="A193" s="3" t="s">
        <v>491</v>
      </c>
      <c r="B193" s="4" t="s">
        <v>492</v>
      </c>
      <c r="C193" s="4" t="s">
        <v>493</v>
      </c>
      <c r="D193" s="3" t="s">
        <v>111</v>
      </c>
      <c r="E193" s="4" t="s">
        <v>494</v>
      </c>
      <c r="F193" s="3" t="s">
        <v>7</v>
      </c>
      <c r="G193" s="3" t="s">
        <v>23</v>
      </c>
      <c r="H193" s="3" t="s">
        <v>20</v>
      </c>
      <c r="I193" s="3" t="s">
        <v>20</v>
      </c>
      <c r="J193" s="4" t="s">
        <v>21</v>
      </c>
      <c r="K193" s="5" t="s">
        <v>22</v>
      </c>
      <c r="L193" s="6" t="s">
        <v>23</v>
      </c>
      <c r="M193" s="6" t="s">
        <v>23</v>
      </c>
      <c r="N193" s="6" t="s">
        <v>23</v>
      </c>
      <c r="O193" s="3">
        <f>VALUE(RIGHT(F193,1))</f>
        <v>2</v>
      </c>
    </row>
    <row r="194" ht="34" customHeight="1" spans="1:15" x14ac:dyDescent="0.25">
      <c r="A194" s="3" t="s">
        <v>495</v>
      </c>
      <c r="B194" s="4" t="s">
        <v>492</v>
      </c>
      <c r="C194" s="4" t="s">
        <v>493</v>
      </c>
      <c r="D194" s="3" t="s">
        <v>111</v>
      </c>
      <c r="E194" s="4" t="s">
        <v>496</v>
      </c>
      <c r="F194" s="3" t="s">
        <v>6</v>
      </c>
      <c r="G194" s="3" t="s">
        <v>20</v>
      </c>
      <c r="H194" s="3" t="s">
        <v>20</v>
      </c>
      <c r="I194" s="3" t="s">
        <v>20</v>
      </c>
      <c r="J194" s="4" t="s">
        <v>21</v>
      </c>
      <c r="K194" s="5" t="s">
        <v>22</v>
      </c>
      <c r="L194" s="6" t="s">
        <v>23</v>
      </c>
      <c r="M194" s="6" t="s">
        <v>23</v>
      </c>
      <c r="N194" s="6" t="s">
        <v>23</v>
      </c>
      <c r="O194" s="3">
        <f>VALUE(RIGHT(F194,1))</f>
        <v>1</v>
      </c>
    </row>
    <row r="195" ht="48" customHeight="1" spans="1:15" x14ac:dyDescent="0.25">
      <c r="A195" s="3" t="s">
        <v>497</v>
      </c>
      <c r="B195" s="4" t="s">
        <v>492</v>
      </c>
      <c r="C195" s="4" t="s">
        <v>493</v>
      </c>
      <c r="D195" s="3" t="s">
        <v>111</v>
      </c>
      <c r="E195" s="4" t="s">
        <v>498</v>
      </c>
      <c r="F195" s="3" t="s">
        <v>6</v>
      </c>
      <c r="G195" s="3" t="s">
        <v>20</v>
      </c>
      <c r="H195" s="3" t="s">
        <v>20</v>
      </c>
      <c r="I195" s="3" t="s">
        <v>20</v>
      </c>
      <c r="J195" s="4" t="s">
        <v>21</v>
      </c>
      <c r="K195" s="5" t="s">
        <v>22</v>
      </c>
      <c r="L195" s="6" t="s">
        <v>23</v>
      </c>
      <c r="M195" s="6" t="s">
        <v>23</v>
      </c>
      <c r="N195" s="6" t="s">
        <v>23</v>
      </c>
      <c r="O195" s="3">
        <f>VALUE(RIGHT(F195,1))</f>
        <v>1</v>
      </c>
    </row>
    <row r="196" ht="62" customHeight="1" spans="1:15" x14ac:dyDescent="0.25">
      <c r="A196" s="3" t="s">
        <v>499</v>
      </c>
      <c r="B196" s="4" t="s">
        <v>492</v>
      </c>
      <c r="C196" s="4" t="s">
        <v>493</v>
      </c>
      <c r="D196" s="3" t="s">
        <v>111</v>
      </c>
      <c r="E196" s="4" t="s">
        <v>500</v>
      </c>
      <c r="F196" s="3" t="s">
        <v>7</v>
      </c>
      <c r="G196" s="3" t="s">
        <v>23</v>
      </c>
      <c r="H196" s="3" t="s">
        <v>20</v>
      </c>
      <c r="I196" s="3" t="s">
        <v>20</v>
      </c>
      <c r="J196" s="4" t="s">
        <v>21</v>
      </c>
      <c r="K196" s="5" t="s">
        <v>22</v>
      </c>
      <c r="L196" s="6" t="s">
        <v>23</v>
      </c>
      <c r="M196" s="6" t="s">
        <v>23</v>
      </c>
      <c r="N196" s="6" t="s">
        <v>23</v>
      </c>
      <c r="O196" s="3">
        <f>VALUE(RIGHT(F196,1))</f>
        <v>2</v>
      </c>
    </row>
    <row r="197" ht="48" customHeight="1" spans="1:15" x14ac:dyDescent="0.25">
      <c r="A197" s="3" t="s">
        <v>501</v>
      </c>
      <c r="B197" s="4" t="s">
        <v>492</v>
      </c>
      <c r="C197" s="4" t="s">
        <v>502</v>
      </c>
      <c r="D197" s="3" t="s">
        <v>111</v>
      </c>
      <c r="E197" s="4" t="s">
        <v>503</v>
      </c>
      <c r="F197" s="3" t="s">
        <v>6</v>
      </c>
      <c r="G197" s="3" t="s">
        <v>20</v>
      </c>
      <c r="H197" s="3" t="s">
        <v>20</v>
      </c>
      <c r="I197" s="3" t="s">
        <v>20</v>
      </c>
      <c r="J197" s="4" t="s">
        <v>21</v>
      </c>
      <c r="K197" s="5" t="s">
        <v>22</v>
      </c>
      <c r="L197" s="6" t="s">
        <v>23</v>
      </c>
      <c r="M197" s="6" t="s">
        <v>23</v>
      </c>
      <c r="N197" s="6" t="s">
        <v>23</v>
      </c>
      <c r="O197" s="3">
        <f>VALUE(RIGHT(F197,1))</f>
        <v>1</v>
      </c>
    </row>
    <row r="198" ht="34" customHeight="1" spans="1:15" x14ac:dyDescent="0.25">
      <c r="A198" s="3" t="s">
        <v>504</v>
      </c>
      <c r="B198" s="4" t="s">
        <v>492</v>
      </c>
      <c r="C198" s="4" t="s">
        <v>502</v>
      </c>
      <c r="D198" s="3" t="s">
        <v>111</v>
      </c>
      <c r="E198" s="4" t="s">
        <v>505</v>
      </c>
      <c r="F198" s="3" t="s">
        <v>7</v>
      </c>
      <c r="G198" s="3" t="s">
        <v>23</v>
      </c>
      <c r="H198" s="3" t="s">
        <v>20</v>
      </c>
      <c r="I198" s="3" t="s">
        <v>20</v>
      </c>
      <c r="J198" s="4" t="s">
        <v>21</v>
      </c>
      <c r="K198" s="5" t="s">
        <v>22</v>
      </c>
      <c r="L198" s="6" t="s">
        <v>23</v>
      </c>
      <c r="M198" s="6" t="s">
        <v>23</v>
      </c>
      <c r="N198" s="6" t="s">
        <v>23</v>
      </c>
      <c r="O198" s="3">
        <f>VALUE(RIGHT(F198,1))</f>
        <v>2</v>
      </c>
    </row>
    <row r="199" ht="34" customHeight="1" spans="1:15" x14ac:dyDescent="0.25">
      <c r="A199" s="3" t="s">
        <v>506</v>
      </c>
      <c r="B199" s="4" t="s">
        <v>492</v>
      </c>
      <c r="C199" s="4" t="s">
        <v>502</v>
      </c>
      <c r="D199" s="3" t="s">
        <v>79</v>
      </c>
      <c r="E199" s="4" t="s">
        <v>507</v>
      </c>
      <c r="F199" s="3" t="s">
        <v>7</v>
      </c>
      <c r="G199" s="3" t="s">
        <v>23</v>
      </c>
      <c r="H199" s="3" t="s">
        <v>20</v>
      </c>
      <c r="I199" s="3" t="s">
        <v>20</v>
      </c>
      <c r="J199" s="4" t="s">
        <v>21</v>
      </c>
      <c r="K199" s="5" t="s">
        <v>22</v>
      </c>
      <c r="L199" s="6" t="s">
        <v>23</v>
      </c>
      <c r="M199" s="6" t="s">
        <v>23</v>
      </c>
      <c r="N199" s="6" t="s">
        <v>23</v>
      </c>
      <c r="O199" s="3">
        <f>VALUE(RIGHT(F199,1))</f>
        <v>2</v>
      </c>
    </row>
    <row r="200" ht="34" customHeight="1" spans="1:15" x14ac:dyDescent="0.25">
      <c r="A200" s="3" t="s">
        <v>508</v>
      </c>
      <c r="B200" s="4" t="s">
        <v>492</v>
      </c>
      <c r="C200" s="4" t="s">
        <v>509</v>
      </c>
      <c r="D200" s="3" t="s">
        <v>111</v>
      </c>
      <c r="E200" s="4" t="s">
        <v>510</v>
      </c>
      <c r="F200" s="3" t="s">
        <v>7</v>
      </c>
      <c r="G200" s="3" t="s">
        <v>23</v>
      </c>
      <c r="H200" s="3" t="s">
        <v>20</v>
      </c>
      <c r="I200" s="3" t="s">
        <v>20</v>
      </c>
      <c r="J200" s="4" t="s">
        <v>21</v>
      </c>
      <c r="K200" s="5" t="s">
        <v>22</v>
      </c>
      <c r="L200" s="6" t="s">
        <v>23</v>
      </c>
      <c r="M200" s="6" t="s">
        <v>23</v>
      </c>
      <c r="N200" s="6" t="s">
        <v>23</v>
      </c>
      <c r="O200" s="3">
        <f>VALUE(RIGHT(F200,1))</f>
        <v>2</v>
      </c>
    </row>
    <row r="201" ht="34" customHeight="1" spans="1:15" x14ac:dyDescent="0.25">
      <c r="A201" s="3" t="s">
        <v>511</v>
      </c>
      <c r="B201" s="4" t="s">
        <v>492</v>
      </c>
      <c r="C201" s="4" t="s">
        <v>509</v>
      </c>
      <c r="D201" s="3" t="s">
        <v>111</v>
      </c>
      <c r="E201" s="4" t="s">
        <v>512</v>
      </c>
      <c r="F201" s="3" t="s">
        <v>7</v>
      </c>
      <c r="G201" s="3" t="s">
        <v>23</v>
      </c>
      <c r="H201" s="3" t="s">
        <v>20</v>
      </c>
      <c r="I201" s="3" t="s">
        <v>20</v>
      </c>
      <c r="J201" s="4" t="s">
        <v>21</v>
      </c>
      <c r="K201" s="5" t="s">
        <v>22</v>
      </c>
      <c r="L201" s="6" t="s">
        <v>23</v>
      </c>
      <c r="M201" s="6" t="s">
        <v>23</v>
      </c>
      <c r="N201" s="6" t="s">
        <v>23</v>
      </c>
      <c r="O201" s="3">
        <f>VALUE(RIGHT(F201,1))</f>
        <v>2</v>
      </c>
    </row>
    <row r="202" ht="34" customHeight="1" spans="1:15" x14ac:dyDescent="0.25">
      <c r="A202" s="3" t="s">
        <v>513</v>
      </c>
      <c r="B202" s="4" t="s">
        <v>492</v>
      </c>
      <c r="C202" s="4" t="s">
        <v>509</v>
      </c>
      <c r="D202" s="3" t="s">
        <v>111</v>
      </c>
      <c r="E202" s="4" t="s">
        <v>514</v>
      </c>
      <c r="F202" s="3" t="s">
        <v>7</v>
      </c>
      <c r="G202" s="3" t="s">
        <v>23</v>
      </c>
      <c r="H202" s="3" t="s">
        <v>20</v>
      </c>
      <c r="I202" s="3" t="s">
        <v>20</v>
      </c>
      <c r="J202" s="4" t="s">
        <v>21</v>
      </c>
      <c r="K202" s="5" t="s">
        <v>22</v>
      </c>
      <c r="L202" s="6" t="s">
        <v>23</v>
      </c>
      <c r="M202" s="6" t="s">
        <v>23</v>
      </c>
      <c r="N202" s="6" t="s">
        <v>23</v>
      </c>
      <c r="O202" s="3">
        <f>VALUE(RIGHT(F202,1))</f>
        <v>2</v>
      </c>
    </row>
    <row r="203" ht="48" customHeight="1" spans="1:15" x14ac:dyDescent="0.25">
      <c r="A203" s="3" t="s">
        <v>515</v>
      </c>
      <c r="B203" s="4" t="s">
        <v>492</v>
      </c>
      <c r="C203" s="4" t="s">
        <v>509</v>
      </c>
      <c r="D203" s="3" t="s">
        <v>111</v>
      </c>
      <c r="E203" s="4" t="s">
        <v>516</v>
      </c>
      <c r="F203" s="3" t="s">
        <v>7</v>
      </c>
      <c r="G203" s="3" t="s">
        <v>23</v>
      </c>
      <c r="H203" s="3" t="s">
        <v>20</v>
      </c>
      <c r="I203" s="3" t="s">
        <v>20</v>
      </c>
      <c r="J203" s="4" t="s">
        <v>21</v>
      </c>
      <c r="K203" s="5" t="s">
        <v>22</v>
      </c>
      <c r="L203" s="6" t="s">
        <v>23</v>
      </c>
      <c r="M203" s="6" t="s">
        <v>23</v>
      </c>
      <c r="N203" s="6" t="s">
        <v>23</v>
      </c>
      <c r="O203" s="3">
        <f>VALUE(RIGHT(F203,1))</f>
        <v>2</v>
      </c>
    </row>
    <row r="204" ht="76" customHeight="1" spans="1:15" x14ac:dyDescent="0.25">
      <c r="A204" s="3" t="s">
        <v>517</v>
      </c>
      <c r="B204" s="4" t="s">
        <v>492</v>
      </c>
      <c r="C204" s="4" t="s">
        <v>509</v>
      </c>
      <c r="D204" s="3" t="s">
        <v>111</v>
      </c>
      <c r="E204" s="4" t="s">
        <v>518</v>
      </c>
      <c r="F204" s="3" t="s">
        <v>6</v>
      </c>
      <c r="G204" s="3" t="s">
        <v>20</v>
      </c>
      <c r="H204" s="3" t="s">
        <v>20</v>
      </c>
      <c r="I204" s="3" t="s">
        <v>20</v>
      </c>
      <c r="J204" s="4" t="s">
        <v>21</v>
      </c>
      <c r="K204" s="5" t="s">
        <v>22</v>
      </c>
      <c r="L204" s="6" t="s">
        <v>23</v>
      </c>
      <c r="M204" s="6" t="s">
        <v>23</v>
      </c>
      <c r="N204" s="6" t="s">
        <v>23</v>
      </c>
      <c r="O204" s="3">
        <f>VALUE(RIGHT(F204,1))</f>
        <v>1</v>
      </c>
    </row>
    <row r="205" ht="34" customHeight="1" spans="1:15" x14ac:dyDescent="0.25">
      <c r="A205" s="3" t="s">
        <v>519</v>
      </c>
      <c r="B205" s="4" t="s">
        <v>492</v>
      </c>
      <c r="C205" s="4" t="s">
        <v>509</v>
      </c>
      <c r="D205" s="3" t="s">
        <v>111</v>
      </c>
      <c r="E205" s="4" t="s">
        <v>520</v>
      </c>
      <c r="F205" s="3" t="s">
        <v>7</v>
      </c>
      <c r="G205" s="3" t="s">
        <v>23</v>
      </c>
      <c r="H205" s="3" t="s">
        <v>20</v>
      </c>
      <c r="I205" s="3" t="s">
        <v>20</v>
      </c>
      <c r="J205" s="4" t="s">
        <v>21</v>
      </c>
      <c r="K205" s="5" t="s">
        <v>22</v>
      </c>
      <c r="L205" s="6" t="s">
        <v>23</v>
      </c>
      <c r="M205" s="6" t="s">
        <v>23</v>
      </c>
      <c r="N205" s="6" t="s">
        <v>23</v>
      </c>
      <c r="O205" s="3">
        <f>VALUE(RIGHT(F205,1))</f>
        <v>2</v>
      </c>
    </row>
    <row r="206" ht="62" customHeight="1" spans="1:15" x14ac:dyDescent="0.25">
      <c r="A206" s="3" t="s">
        <v>521</v>
      </c>
      <c r="B206" s="4" t="s">
        <v>492</v>
      </c>
      <c r="C206" s="4" t="s">
        <v>522</v>
      </c>
      <c r="D206" s="3" t="s">
        <v>111</v>
      </c>
      <c r="E206" s="4" t="s">
        <v>523</v>
      </c>
      <c r="F206" s="3" t="s">
        <v>7</v>
      </c>
      <c r="G206" s="3" t="s">
        <v>23</v>
      </c>
      <c r="H206" s="3" t="s">
        <v>20</v>
      </c>
      <c r="I206" s="3" t="s">
        <v>20</v>
      </c>
      <c r="J206" s="4" t="s">
        <v>21</v>
      </c>
      <c r="K206" s="5" t="s">
        <v>22</v>
      </c>
      <c r="L206" s="6" t="s">
        <v>23</v>
      </c>
      <c r="M206" s="6" t="s">
        <v>23</v>
      </c>
      <c r="N206" s="6" t="s">
        <v>23</v>
      </c>
      <c r="O206" s="3">
        <f>VALUE(RIGHT(F206,1))</f>
        <v>2</v>
      </c>
    </row>
    <row r="207" ht="48" customHeight="1" spans="1:15" x14ac:dyDescent="0.25">
      <c r="A207" s="3" t="s">
        <v>524</v>
      </c>
      <c r="B207" s="4" t="s">
        <v>492</v>
      </c>
      <c r="C207" s="4" t="s">
        <v>522</v>
      </c>
      <c r="D207" s="3" t="s">
        <v>111</v>
      </c>
      <c r="E207" s="4" t="s">
        <v>525</v>
      </c>
      <c r="F207" s="3" t="s">
        <v>7</v>
      </c>
      <c r="G207" s="3" t="s">
        <v>23</v>
      </c>
      <c r="H207" s="3" t="s">
        <v>20</v>
      </c>
      <c r="I207" s="3" t="s">
        <v>20</v>
      </c>
      <c r="J207" s="4" t="s">
        <v>21</v>
      </c>
      <c r="K207" s="5" t="s">
        <v>22</v>
      </c>
      <c r="L207" s="6" t="s">
        <v>23</v>
      </c>
      <c r="M207" s="6" t="s">
        <v>23</v>
      </c>
      <c r="N207" s="6" t="s">
        <v>23</v>
      </c>
      <c r="O207" s="3">
        <f>VALUE(RIGHT(F207,1))</f>
        <v>2</v>
      </c>
    </row>
    <row r="208" ht="34" customHeight="1" spans="1:15" x14ac:dyDescent="0.25">
      <c r="A208" s="3" t="s">
        <v>526</v>
      </c>
      <c r="B208" s="4" t="s">
        <v>492</v>
      </c>
      <c r="C208" s="4" t="s">
        <v>522</v>
      </c>
      <c r="D208" s="3" t="s">
        <v>111</v>
      </c>
      <c r="E208" s="4" t="s">
        <v>527</v>
      </c>
      <c r="F208" s="3" t="s">
        <v>7</v>
      </c>
      <c r="G208" s="3" t="s">
        <v>23</v>
      </c>
      <c r="H208" s="3" t="s">
        <v>20</v>
      </c>
      <c r="I208" s="3" t="s">
        <v>20</v>
      </c>
      <c r="J208" s="4" t="s">
        <v>21</v>
      </c>
      <c r="K208" s="5" t="s">
        <v>22</v>
      </c>
      <c r="L208" s="6" t="s">
        <v>23</v>
      </c>
      <c r="M208" s="6" t="s">
        <v>23</v>
      </c>
      <c r="N208" s="6" t="s">
        <v>23</v>
      </c>
      <c r="O208" s="3">
        <f>VALUE(RIGHT(F208,1))</f>
        <v>2</v>
      </c>
    </row>
    <row r="209" ht="48" customHeight="1" spans="1:15" x14ac:dyDescent="0.25">
      <c r="A209" s="3" t="s">
        <v>528</v>
      </c>
      <c r="B209" s="4" t="s">
        <v>492</v>
      </c>
      <c r="C209" s="4" t="s">
        <v>529</v>
      </c>
      <c r="D209" s="3" t="s">
        <v>18</v>
      </c>
      <c r="E209" s="4" t="s">
        <v>530</v>
      </c>
      <c r="F209" s="3" t="s">
        <v>7</v>
      </c>
      <c r="G209" s="3" t="s">
        <v>23</v>
      </c>
      <c r="H209" s="3" t="s">
        <v>20</v>
      </c>
      <c r="I209" s="3" t="s">
        <v>20</v>
      </c>
      <c r="J209" s="4" t="s">
        <v>21</v>
      </c>
      <c r="K209" s="5" t="s">
        <v>22</v>
      </c>
      <c r="L209" s="6" t="s">
        <v>23</v>
      </c>
      <c r="M209" s="6" t="s">
        <v>23</v>
      </c>
      <c r="N209" s="6" t="s">
        <v>23</v>
      </c>
      <c r="O209" s="3">
        <f>VALUE(RIGHT(F209,1))</f>
        <v>2</v>
      </c>
    </row>
    <row r="210" ht="48" customHeight="1" spans="1:15" x14ac:dyDescent="0.25">
      <c r="A210" s="3" t="s">
        <v>531</v>
      </c>
      <c r="B210" s="4" t="s">
        <v>492</v>
      </c>
      <c r="C210" s="4" t="s">
        <v>529</v>
      </c>
      <c r="D210" s="3" t="s">
        <v>111</v>
      </c>
      <c r="E210" s="4" t="s">
        <v>532</v>
      </c>
      <c r="F210" s="3" t="s">
        <v>7</v>
      </c>
      <c r="G210" s="3" t="s">
        <v>23</v>
      </c>
      <c r="H210" s="3" t="s">
        <v>20</v>
      </c>
      <c r="I210" s="3" t="s">
        <v>20</v>
      </c>
      <c r="J210" s="4" t="s">
        <v>21</v>
      </c>
      <c r="K210" s="5" t="s">
        <v>22</v>
      </c>
      <c r="L210" s="6" t="s">
        <v>23</v>
      </c>
      <c r="M210" s="6" t="s">
        <v>23</v>
      </c>
      <c r="N210" s="6" t="s">
        <v>23</v>
      </c>
      <c r="O210" s="3">
        <f>VALUE(RIGHT(F210,1))</f>
        <v>2</v>
      </c>
    </row>
    <row r="211" ht="48" customHeight="1" spans="1:15" x14ac:dyDescent="0.25">
      <c r="A211" s="3" t="s">
        <v>533</v>
      </c>
      <c r="B211" s="4" t="s">
        <v>492</v>
      </c>
      <c r="C211" s="4" t="s">
        <v>529</v>
      </c>
      <c r="D211" s="3" t="s">
        <v>111</v>
      </c>
      <c r="E211" s="4" t="s">
        <v>534</v>
      </c>
      <c r="F211" s="3" t="s">
        <v>8</v>
      </c>
      <c r="G211" s="3" t="s">
        <v>23</v>
      </c>
      <c r="H211" s="3" t="s">
        <v>23</v>
      </c>
      <c r="I211" s="3" t="s">
        <v>20</v>
      </c>
      <c r="J211" s="4" t="s">
        <v>21</v>
      </c>
      <c r="K211" s="5" t="s">
        <v>22</v>
      </c>
      <c r="L211" s="6" t="s">
        <v>23</v>
      </c>
      <c r="M211" s="6" t="s">
        <v>23</v>
      </c>
      <c r="N211" s="6" t="s">
        <v>23</v>
      </c>
      <c r="O211" s="3">
        <f>VALUE(RIGHT(F211,1))</f>
        <v>3</v>
      </c>
    </row>
    <row r="212" ht="34" customHeight="1" spans="1:15" x14ac:dyDescent="0.25">
      <c r="A212" s="3" t="s">
        <v>535</v>
      </c>
      <c r="B212" s="4" t="s">
        <v>492</v>
      </c>
      <c r="C212" s="4" t="s">
        <v>536</v>
      </c>
      <c r="D212" s="3" t="s">
        <v>111</v>
      </c>
      <c r="E212" s="4" t="s">
        <v>537</v>
      </c>
      <c r="F212" s="3" t="s">
        <v>6</v>
      </c>
      <c r="G212" s="3" t="s">
        <v>20</v>
      </c>
      <c r="H212" s="3" t="s">
        <v>20</v>
      </c>
      <c r="I212" s="3" t="s">
        <v>20</v>
      </c>
      <c r="J212" s="4" t="s">
        <v>21</v>
      </c>
      <c r="K212" s="5" t="s">
        <v>22</v>
      </c>
      <c r="L212" s="6" t="s">
        <v>23</v>
      </c>
      <c r="M212" s="6" t="s">
        <v>23</v>
      </c>
      <c r="N212" s="6" t="s">
        <v>23</v>
      </c>
      <c r="O212" s="3">
        <f>VALUE(RIGHT(F212,1))</f>
        <v>1</v>
      </c>
    </row>
    <row r="213" ht="34" customHeight="1" spans="1:15" x14ac:dyDescent="0.25">
      <c r="A213" s="3" t="s">
        <v>538</v>
      </c>
      <c r="B213" s="4" t="s">
        <v>492</v>
      </c>
      <c r="C213" s="4" t="s">
        <v>536</v>
      </c>
      <c r="D213" s="3" t="s">
        <v>76</v>
      </c>
      <c r="E213" s="4" t="s">
        <v>539</v>
      </c>
      <c r="F213" s="3" t="s">
        <v>6</v>
      </c>
      <c r="G213" s="3" t="s">
        <v>20</v>
      </c>
      <c r="H213" s="3" t="s">
        <v>20</v>
      </c>
      <c r="I213" s="3" t="s">
        <v>20</v>
      </c>
      <c r="J213" s="4" t="s">
        <v>21</v>
      </c>
      <c r="K213" s="5" t="s">
        <v>22</v>
      </c>
      <c r="L213" s="6" t="s">
        <v>23</v>
      </c>
      <c r="M213" s="6" t="s">
        <v>23</v>
      </c>
      <c r="N213" s="6" t="s">
        <v>23</v>
      </c>
      <c r="O213" s="3">
        <f>VALUE(RIGHT(F213,1))</f>
        <v>1</v>
      </c>
    </row>
    <row r="214" ht="48" customHeight="1" spans="1:15" x14ac:dyDescent="0.25">
      <c r="A214" s="3" t="s">
        <v>540</v>
      </c>
      <c r="B214" s="4" t="s">
        <v>492</v>
      </c>
      <c r="C214" s="4" t="s">
        <v>536</v>
      </c>
      <c r="D214" s="3" t="s">
        <v>111</v>
      </c>
      <c r="E214" s="4" t="s">
        <v>541</v>
      </c>
      <c r="F214" s="3" t="s">
        <v>6</v>
      </c>
      <c r="G214" s="3" t="s">
        <v>20</v>
      </c>
      <c r="H214" s="3" t="s">
        <v>20</v>
      </c>
      <c r="I214" s="3" t="s">
        <v>20</v>
      </c>
      <c r="J214" s="4" t="s">
        <v>21</v>
      </c>
      <c r="K214" s="5" t="s">
        <v>22</v>
      </c>
      <c r="L214" s="6" t="s">
        <v>23</v>
      </c>
      <c r="M214" s="6" t="s">
        <v>23</v>
      </c>
      <c r="N214" s="6" t="s">
        <v>23</v>
      </c>
      <c r="O214" s="3">
        <f>VALUE(RIGHT(F214,1))</f>
        <v>1</v>
      </c>
    </row>
    <row r="215" ht="48" customHeight="1" spans="1:15" x14ac:dyDescent="0.25">
      <c r="A215" s="3" t="s">
        <v>542</v>
      </c>
      <c r="B215" s="4" t="s">
        <v>492</v>
      </c>
      <c r="C215" s="4" t="s">
        <v>543</v>
      </c>
      <c r="D215" s="3" t="s">
        <v>111</v>
      </c>
      <c r="E215" s="4" t="s">
        <v>544</v>
      </c>
      <c r="F215" s="3" t="s">
        <v>6</v>
      </c>
      <c r="G215" s="3" t="s">
        <v>20</v>
      </c>
      <c r="H215" s="3" t="s">
        <v>20</v>
      </c>
      <c r="I215" s="3" t="s">
        <v>20</v>
      </c>
      <c r="J215" s="4" t="s">
        <v>21</v>
      </c>
      <c r="K215" s="5" t="s">
        <v>22</v>
      </c>
      <c r="L215" s="6" t="s">
        <v>23</v>
      </c>
      <c r="M215" s="6" t="s">
        <v>23</v>
      </c>
      <c r="N215" s="6" t="s">
        <v>23</v>
      </c>
      <c r="O215" s="3">
        <f>VALUE(RIGHT(F215,1))</f>
        <v>1</v>
      </c>
    </row>
    <row r="216" ht="48" customHeight="1" spans="1:15" x14ac:dyDescent="0.25">
      <c r="A216" s="3" t="s">
        <v>545</v>
      </c>
      <c r="B216" s="4" t="s">
        <v>492</v>
      </c>
      <c r="C216" s="4" t="s">
        <v>543</v>
      </c>
      <c r="D216" s="3" t="s">
        <v>79</v>
      </c>
      <c r="E216" s="4" t="s">
        <v>546</v>
      </c>
      <c r="F216" s="3" t="s">
        <v>6</v>
      </c>
      <c r="G216" s="3" t="s">
        <v>20</v>
      </c>
      <c r="H216" s="3" t="s">
        <v>20</v>
      </c>
      <c r="I216" s="3" t="s">
        <v>20</v>
      </c>
      <c r="J216" s="4" t="s">
        <v>21</v>
      </c>
      <c r="K216" s="5" t="s">
        <v>22</v>
      </c>
      <c r="L216" s="6" t="s">
        <v>23</v>
      </c>
      <c r="M216" s="6" t="s">
        <v>23</v>
      </c>
      <c r="N216" s="6" t="s">
        <v>23</v>
      </c>
      <c r="O216" s="3">
        <f>VALUE(RIGHT(F216,1))</f>
        <v>1</v>
      </c>
    </row>
    <row r="217" ht="34" customHeight="1" spans="1:15" x14ac:dyDescent="0.25">
      <c r="A217" s="3" t="s">
        <v>547</v>
      </c>
      <c r="B217" s="4" t="s">
        <v>492</v>
      </c>
      <c r="C217" s="4" t="s">
        <v>543</v>
      </c>
      <c r="D217" s="3" t="s">
        <v>111</v>
      </c>
      <c r="E217" s="4" t="s">
        <v>548</v>
      </c>
      <c r="F217" s="3" t="s">
        <v>7</v>
      </c>
      <c r="G217" s="3" t="s">
        <v>23</v>
      </c>
      <c r="H217" s="3" t="s">
        <v>20</v>
      </c>
      <c r="I217" s="3" t="s">
        <v>20</v>
      </c>
      <c r="J217" s="4" t="s">
        <v>21</v>
      </c>
      <c r="K217" s="5" t="s">
        <v>22</v>
      </c>
      <c r="L217" s="6" t="s">
        <v>23</v>
      </c>
      <c r="M217" s="6" t="s">
        <v>23</v>
      </c>
      <c r="N217" s="6" t="s">
        <v>23</v>
      </c>
      <c r="O217" s="3">
        <f>VALUE(RIGHT(F217,1))</f>
        <v>2</v>
      </c>
    </row>
    <row r="218" ht="34" customHeight="1" spans="1:15" x14ac:dyDescent="0.25">
      <c r="A218" s="3" t="s">
        <v>549</v>
      </c>
      <c r="B218" s="4" t="s">
        <v>492</v>
      </c>
      <c r="C218" s="4" t="s">
        <v>543</v>
      </c>
      <c r="D218" s="3" t="s">
        <v>111</v>
      </c>
      <c r="E218" s="4" t="s">
        <v>550</v>
      </c>
      <c r="F218" s="3" t="s">
        <v>7</v>
      </c>
      <c r="G218" s="3" t="s">
        <v>23</v>
      </c>
      <c r="H218" s="3" t="s">
        <v>20</v>
      </c>
      <c r="I218" s="3" t="s">
        <v>20</v>
      </c>
      <c r="J218" s="4" t="s">
        <v>21</v>
      </c>
      <c r="K218" s="5" t="s">
        <v>22</v>
      </c>
      <c r="L218" s="6" t="s">
        <v>23</v>
      </c>
      <c r="M218" s="6" t="s">
        <v>23</v>
      </c>
      <c r="N218" s="6" t="s">
        <v>23</v>
      </c>
      <c r="O218" s="3">
        <f>VALUE(RIGHT(F218,1))</f>
        <v>2</v>
      </c>
    </row>
    <row r="219" ht="62" customHeight="1" spans="1:15" x14ac:dyDescent="0.25">
      <c r="A219" s="3" t="s">
        <v>551</v>
      </c>
      <c r="B219" s="4" t="s">
        <v>552</v>
      </c>
      <c r="C219" s="4" t="s">
        <v>553</v>
      </c>
      <c r="D219" s="3" t="s">
        <v>79</v>
      </c>
      <c r="E219" s="4" t="s">
        <v>554</v>
      </c>
      <c r="F219" s="3" t="s">
        <v>6</v>
      </c>
      <c r="G219" s="3" t="s">
        <v>20</v>
      </c>
      <c r="H219" s="3" t="s">
        <v>20</v>
      </c>
      <c r="I219" s="3" t="s">
        <v>20</v>
      </c>
      <c r="J219" s="4" t="s">
        <v>21</v>
      </c>
      <c r="K219" s="5" t="s">
        <v>22</v>
      </c>
      <c r="L219" s="6" t="s">
        <v>23</v>
      </c>
      <c r="M219" s="6" t="s">
        <v>23</v>
      </c>
      <c r="N219" s="6" t="s">
        <v>23</v>
      </c>
      <c r="O219" s="3">
        <f>VALUE(RIGHT(F219,1))</f>
        <v>1</v>
      </c>
    </row>
    <row r="220" ht="48" customHeight="1" spans="1:15" x14ac:dyDescent="0.25">
      <c r="A220" s="3" t="s">
        <v>555</v>
      </c>
      <c r="B220" s="4" t="s">
        <v>552</v>
      </c>
      <c r="C220" s="4" t="s">
        <v>553</v>
      </c>
      <c r="D220" s="3" t="s">
        <v>79</v>
      </c>
      <c r="E220" s="4" t="s">
        <v>556</v>
      </c>
      <c r="F220" s="3" t="s">
        <v>6</v>
      </c>
      <c r="G220" s="3" t="s">
        <v>20</v>
      </c>
      <c r="H220" s="3" t="s">
        <v>20</v>
      </c>
      <c r="I220" s="3" t="s">
        <v>20</v>
      </c>
      <c r="J220" s="4" t="s">
        <v>21</v>
      </c>
      <c r="K220" s="5" t="s">
        <v>22</v>
      </c>
      <c r="L220" s="6" t="s">
        <v>23</v>
      </c>
      <c r="M220" s="6" t="s">
        <v>23</v>
      </c>
      <c r="N220" s="6" t="s">
        <v>23</v>
      </c>
      <c r="O220" s="3">
        <f>VALUE(RIGHT(F220,1))</f>
        <v>1</v>
      </c>
    </row>
    <row r="221" ht="48" customHeight="1" spans="1:15" x14ac:dyDescent="0.25">
      <c r="A221" s="3" t="s">
        <v>557</v>
      </c>
      <c r="B221" s="4" t="s">
        <v>552</v>
      </c>
      <c r="C221" s="4" t="s">
        <v>553</v>
      </c>
      <c r="D221" s="3" t="s">
        <v>79</v>
      </c>
      <c r="E221" s="4" t="s">
        <v>558</v>
      </c>
      <c r="F221" s="3" t="s">
        <v>7</v>
      </c>
      <c r="G221" s="3" t="s">
        <v>23</v>
      </c>
      <c r="H221" s="3" t="s">
        <v>20</v>
      </c>
      <c r="I221" s="3" t="s">
        <v>20</v>
      </c>
      <c r="J221" s="4" t="s">
        <v>21</v>
      </c>
      <c r="K221" s="5" t="s">
        <v>22</v>
      </c>
      <c r="L221" s="6" t="s">
        <v>23</v>
      </c>
      <c r="M221" s="6" t="s">
        <v>23</v>
      </c>
      <c r="N221" s="6" t="s">
        <v>23</v>
      </c>
      <c r="O221" s="3">
        <f>VALUE(RIGHT(F221,1))</f>
        <v>2</v>
      </c>
    </row>
    <row r="222" ht="48" customHeight="1" spans="1:15" x14ac:dyDescent="0.25">
      <c r="A222" s="3" t="s">
        <v>559</v>
      </c>
      <c r="B222" s="4" t="s">
        <v>552</v>
      </c>
      <c r="C222" s="4" t="s">
        <v>553</v>
      </c>
      <c r="D222" s="3" t="s">
        <v>79</v>
      </c>
      <c r="E222" s="4" t="s">
        <v>560</v>
      </c>
      <c r="F222" s="3" t="s">
        <v>7</v>
      </c>
      <c r="G222" s="3" t="s">
        <v>23</v>
      </c>
      <c r="H222" s="3" t="s">
        <v>20</v>
      </c>
      <c r="I222" s="3" t="s">
        <v>20</v>
      </c>
      <c r="J222" s="4" t="s">
        <v>21</v>
      </c>
      <c r="K222" s="5" t="s">
        <v>22</v>
      </c>
      <c r="L222" s="6" t="s">
        <v>23</v>
      </c>
      <c r="M222" s="6" t="s">
        <v>23</v>
      </c>
      <c r="N222" s="6" t="s">
        <v>23</v>
      </c>
      <c r="O222" s="3">
        <f>VALUE(RIGHT(F222,1))</f>
        <v>2</v>
      </c>
    </row>
    <row r="223" ht="48" customHeight="1" spans="1:15" x14ac:dyDescent="0.25">
      <c r="A223" s="3" t="s">
        <v>561</v>
      </c>
      <c r="B223" s="4" t="s">
        <v>552</v>
      </c>
      <c r="C223" s="4" t="s">
        <v>553</v>
      </c>
      <c r="D223" s="3" t="s">
        <v>79</v>
      </c>
      <c r="E223" s="4" t="s">
        <v>562</v>
      </c>
      <c r="F223" s="3" t="s">
        <v>7</v>
      </c>
      <c r="G223" s="3" t="s">
        <v>23</v>
      </c>
      <c r="H223" s="3" t="s">
        <v>20</v>
      </c>
      <c r="I223" s="3" t="s">
        <v>20</v>
      </c>
      <c r="J223" s="4" t="s">
        <v>21</v>
      </c>
      <c r="K223" s="5" t="s">
        <v>22</v>
      </c>
      <c r="L223" s="6" t="s">
        <v>23</v>
      </c>
      <c r="M223" s="6" t="s">
        <v>23</v>
      </c>
      <c r="N223" s="6" t="s">
        <v>23</v>
      </c>
      <c r="O223" s="3">
        <f>VALUE(RIGHT(F223,1))</f>
        <v>2</v>
      </c>
    </row>
    <row r="224" ht="62" customHeight="1" spans="1:15" x14ac:dyDescent="0.25">
      <c r="A224" s="3" t="s">
        <v>563</v>
      </c>
      <c r="B224" s="4" t="s">
        <v>552</v>
      </c>
      <c r="C224" s="4" t="s">
        <v>553</v>
      </c>
      <c r="D224" s="3" t="s">
        <v>79</v>
      </c>
      <c r="E224" s="4" t="s">
        <v>564</v>
      </c>
      <c r="F224" s="3" t="s">
        <v>8</v>
      </c>
      <c r="G224" s="3" t="s">
        <v>23</v>
      </c>
      <c r="H224" s="3" t="s">
        <v>23</v>
      </c>
      <c r="I224" s="3" t="s">
        <v>20</v>
      </c>
      <c r="J224" s="4" t="s">
        <v>21</v>
      </c>
      <c r="K224" s="5" t="s">
        <v>22</v>
      </c>
      <c r="L224" s="6" t="s">
        <v>23</v>
      </c>
      <c r="M224" s="6" t="s">
        <v>23</v>
      </c>
      <c r="N224" s="6" t="s">
        <v>23</v>
      </c>
      <c r="O224" s="3">
        <f>VALUE(RIGHT(F224,1))</f>
        <v>3</v>
      </c>
    </row>
    <row r="225" ht="48" customHeight="1" spans="1:15" x14ac:dyDescent="0.25">
      <c r="A225" s="3" t="s">
        <v>565</v>
      </c>
      <c r="B225" s="4" t="s">
        <v>552</v>
      </c>
      <c r="C225" s="4" t="s">
        <v>566</v>
      </c>
      <c r="D225" s="3" t="s">
        <v>79</v>
      </c>
      <c r="E225" s="4" t="s">
        <v>567</v>
      </c>
      <c r="F225" s="3" t="s">
        <v>6</v>
      </c>
      <c r="G225" s="3" t="s">
        <v>20</v>
      </c>
      <c r="H225" s="3" t="s">
        <v>20</v>
      </c>
      <c r="I225" s="3" t="s">
        <v>20</v>
      </c>
      <c r="J225" s="4" t="s">
        <v>21</v>
      </c>
      <c r="K225" s="5" t="s">
        <v>22</v>
      </c>
      <c r="L225" s="6" t="s">
        <v>23</v>
      </c>
      <c r="M225" s="6" t="s">
        <v>23</v>
      </c>
      <c r="N225" s="6" t="s">
        <v>23</v>
      </c>
      <c r="O225" s="3">
        <f>VALUE(RIGHT(F225,1))</f>
        <v>1</v>
      </c>
    </row>
    <row r="226" ht="48" customHeight="1" spans="1:15" x14ac:dyDescent="0.25">
      <c r="A226" s="3" t="s">
        <v>568</v>
      </c>
      <c r="B226" s="4" t="s">
        <v>552</v>
      </c>
      <c r="C226" s="4" t="s">
        <v>566</v>
      </c>
      <c r="D226" s="3" t="s">
        <v>79</v>
      </c>
      <c r="E226" s="4" t="s">
        <v>569</v>
      </c>
      <c r="F226" s="3" t="s">
        <v>7</v>
      </c>
      <c r="G226" s="3" t="s">
        <v>23</v>
      </c>
      <c r="H226" s="3" t="s">
        <v>20</v>
      </c>
      <c r="I226" s="3" t="s">
        <v>20</v>
      </c>
      <c r="J226" s="4" t="s">
        <v>21</v>
      </c>
      <c r="K226" s="5" t="s">
        <v>22</v>
      </c>
      <c r="L226" s="6" t="s">
        <v>23</v>
      </c>
      <c r="M226" s="6" t="s">
        <v>23</v>
      </c>
      <c r="N226" s="6" t="s">
        <v>23</v>
      </c>
      <c r="O226" s="3">
        <f>VALUE(RIGHT(F226,1))</f>
        <v>2</v>
      </c>
    </row>
    <row r="227" ht="48" customHeight="1" spans="1:15" x14ac:dyDescent="0.25">
      <c r="A227" s="3" t="s">
        <v>570</v>
      </c>
      <c r="B227" s="4" t="s">
        <v>552</v>
      </c>
      <c r="C227" s="4" t="s">
        <v>566</v>
      </c>
      <c r="D227" s="3" t="s">
        <v>79</v>
      </c>
      <c r="E227" s="4" t="s">
        <v>571</v>
      </c>
      <c r="F227" s="3" t="s">
        <v>7</v>
      </c>
      <c r="G227" s="3" t="s">
        <v>23</v>
      </c>
      <c r="H227" s="3" t="s">
        <v>20</v>
      </c>
      <c r="I227" s="3" t="s">
        <v>20</v>
      </c>
      <c r="J227" s="4" t="s">
        <v>21</v>
      </c>
      <c r="K227" s="5" t="s">
        <v>22</v>
      </c>
      <c r="L227" s="6" t="s">
        <v>23</v>
      </c>
      <c r="M227" s="6" t="s">
        <v>23</v>
      </c>
      <c r="N227" s="6" t="s">
        <v>23</v>
      </c>
      <c r="O227" s="3">
        <f>VALUE(RIGHT(F227,1))</f>
        <v>2</v>
      </c>
    </row>
    <row r="228" ht="48" customHeight="1" spans="1:15" x14ac:dyDescent="0.25">
      <c r="A228" s="3" t="s">
        <v>572</v>
      </c>
      <c r="B228" s="4" t="s">
        <v>552</v>
      </c>
      <c r="C228" s="4" t="s">
        <v>566</v>
      </c>
      <c r="D228" s="3" t="s">
        <v>79</v>
      </c>
      <c r="E228" s="4" t="s">
        <v>573</v>
      </c>
      <c r="F228" s="3" t="s">
        <v>7</v>
      </c>
      <c r="G228" s="3" t="s">
        <v>23</v>
      </c>
      <c r="H228" s="3" t="s">
        <v>20</v>
      </c>
      <c r="I228" s="3" t="s">
        <v>20</v>
      </c>
      <c r="J228" s="4" t="s">
        <v>21</v>
      </c>
      <c r="K228" s="5" t="s">
        <v>22</v>
      </c>
      <c r="L228" s="6" t="s">
        <v>23</v>
      </c>
      <c r="M228" s="6" t="s">
        <v>23</v>
      </c>
      <c r="N228" s="6" t="s">
        <v>23</v>
      </c>
      <c r="O228" s="3">
        <f>VALUE(RIGHT(F228,1))</f>
        <v>2</v>
      </c>
    </row>
    <row r="229" ht="48" customHeight="1" spans="1:15" x14ac:dyDescent="0.25">
      <c r="A229" s="3" t="s">
        <v>574</v>
      </c>
      <c r="B229" s="4" t="s">
        <v>552</v>
      </c>
      <c r="C229" s="4" t="s">
        <v>575</v>
      </c>
      <c r="D229" s="3" t="s">
        <v>79</v>
      </c>
      <c r="E229" s="4" t="s">
        <v>576</v>
      </c>
      <c r="F229" s="3" t="s">
        <v>7</v>
      </c>
      <c r="G229" s="3" t="s">
        <v>23</v>
      </c>
      <c r="H229" s="3" t="s">
        <v>20</v>
      </c>
      <c r="I229" s="3" t="s">
        <v>20</v>
      </c>
      <c r="J229" s="4" t="s">
        <v>21</v>
      </c>
      <c r="K229" s="5" t="s">
        <v>22</v>
      </c>
      <c r="L229" s="6" t="s">
        <v>23</v>
      </c>
      <c r="M229" s="6" t="s">
        <v>23</v>
      </c>
      <c r="N229" s="6" t="s">
        <v>23</v>
      </c>
      <c r="O229" s="3">
        <f>VALUE(RIGHT(F229,1))</f>
        <v>2</v>
      </c>
    </row>
    <row r="230" ht="48" customHeight="1" spans="1:15" x14ac:dyDescent="0.25">
      <c r="A230" s="3" t="s">
        <v>577</v>
      </c>
      <c r="B230" s="4" t="s">
        <v>552</v>
      </c>
      <c r="C230" s="4" t="s">
        <v>575</v>
      </c>
      <c r="D230" s="3" t="s">
        <v>79</v>
      </c>
      <c r="E230" s="4" t="s">
        <v>578</v>
      </c>
      <c r="F230" s="3" t="s">
        <v>7</v>
      </c>
      <c r="G230" s="3" t="s">
        <v>23</v>
      </c>
      <c r="H230" s="3" t="s">
        <v>20</v>
      </c>
      <c r="I230" s="3" t="s">
        <v>20</v>
      </c>
      <c r="J230" s="4" t="s">
        <v>21</v>
      </c>
      <c r="K230" s="5" t="s">
        <v>22</v>
      </c>
      <c r="L230" s="6" t="s">
        <v>23</v>
      </c>
      <c r="M230" s="6" t="s">
        <v>23</v>
      </c>
      <c r="N230" s="6" t="s">
        <v>23</v>
      </c>
      <c r="O230" s="3">
        <f>VALUE(RIGHT(F230,1))</f>
        <v>2</v>
      </c>
    </row>
    <row r="231" ht="48" customHeight="1" spans="1:15" x14ac:dyDescent="0.25">
      <c r="A231" s="3" t="s">
        <v>579</v>
      </c>
      <c r="B231" s="4" t="s">
        <v>552</v>
      </c>
      <c r="C231" s="4" t="s">
        <v>575</v>
      </c>
      <c r="D231" s="3" t="s">
        <v>79</v>
      </c>
      <c r="E231" s="4" t="s">
        <v>580</v>
      </c>
      <c r="F231" s="3" t="s">
        <v>8</v>
      </c>
      <c r="G231" s="3" t="s">
        <v>23</v>
      </c>
      <c r="H231" s="3" t="s">
        <v>23</v>
      </c>
      <c r="I231" s="3" t="s">
        <v>20</v>
      </c>
      <c r="J231" s="4" t="s">
        <v>21</v>
      </c>
      <c r="K231" s="5" t="s">
        <v>22</v>
      </c>
      <c r="L231" s="6" t="s">
        <v>23</v>
      </c>
      <c r="M231" s="6" t="s">
        <v>23</v>
      </c>
      <c r="N231" s="6" t="s">
        <v>23</v>
      </c>
      <c r="O231" s="3">
        <f>VALUE(RIGHT(F231,1))</f>
        <v>3</v>
      </c>
    </row>
    <row r="232" ht="48" customHeight="1" spans="1:15" x14ac:dyDescent="0.25">
      <c r="A232" s="3" t="s">
        <v>581</v>
      </c>
      <c r="B232" s="4" t="s">
        <v>552</v>
      </c>
      <c r="C232" s="4" t="s">
        <v>582</v>
      </c>
      <c r="D232" s="3" t="s">
        <v>76</v>
      </c>
      <c r="E232" s="4" t="s">
        <v>583</v>
      </c>
      <c r="F232" s="3" t="s">
        <v>6</v>
      </c>
      <c r="G232" s="3" t="s">
        <v>20</v>
      </c>
      <c r="H232" s="3" t="s">
        <v>20</v>
      </c>
      <c r="I232" s="3" t="s">
        <v>20</v>
      </c>
      <c r="J232" s="4" t="s">
        <v>21</v>
      </c>
      <c r="K232" s="5" t="s">
        <v>22</v>
      </c>
      <c r="L232" s="6" t="s">
        <v>23</v>
      </c>
      <c r="M232" s="6" t="s">
        <v>23</v>
      </c>
      <c r="N232" s="6" t="s">
        <v>23</v>
      </c>
      <c r="O232" s="3">
        <f>VALUE(RIGHT(F232,1))</f>
        <v>1</v>
      </c>
    </row>
    <row r="233" ht="48" customHeight="1" spans="1:15" x14ac:dyDescent="0.25">
      <c r="A233" s="3" t="s">
        <v>584</v>
      </c>
      <c r="B233" s="4" t="s">
        <v>552</v>
      </c>
      <c r="C233" s="4" t="s">
        <v>582</v>
      </c>
      <c r="D233" s="3" t="s">
        <v>76</v>
      </c>
      <c r="E233" s="4" t="s">
        <v>585</v>
      </c>
      <c r="F233" s="3" t="s">
        <v>7</v>
      </c>
      <c r="G233" s="3" t="s">
        <v>23</v>
      </c>
      <c r="H233" s="3" t="s">
        <v>20</v>
      </c>
      <c r="I233" s="3" t="s">
        <v>20</v>
      </c>
      <c r="J233" s="4" t="s">
        <v>21</v>
      </c>
      <c r="K233" s="5" t="s">
        <v>22</v>
      </c>
      <c r="L233" s="6" t="s">
        <v>23</v>
      </c>
      <c r="M233" s="6" t="s">
        <v>23</v>
      </c>
      <c r="N233" s="6" t="s">
        <v>23</v>
      </c>
      <c r="O233" s="3">
        <f>VALUE(RIGHT(F233,1))</f>
        <v>2</v>
      </c>
    </row>
    <row r="234" ht="76" customHeight="1" spans="1:15" x14ac:dyDescent="0.25">
      <c r="A234" s="3" t="s">
        <v>586</v>
      </c>
      <c r="B234" s="4" t="s">
        <v>552</v>
      </c>
      <c r="C234" s="4" t="s">
        <v>582</v>
      </c>
      <c r="D234" s="3" t="s">
        <v>111</v>
      </c>
      <c r="E234" s="4" t="s">
        <v>587</v>
      </c>
      <c r="F234" s="3" t="s">
        <v>6</v>
      </c>
      <c r="G234" s="3" t="s">
        <v>20</v>
      </c>
      <c r="H234" s="3" t="s">
        <v>20</v>
      </c>
      <c r="I234" s="3" t="s">
        <v>20</v>
      </c>
      <c r="J234" s="4" t="s">
        <v>21</v>
      </c>
      <c r="K234" s="5" t="s">
        <v>22</v>
      </c>
      <c r="L234" s="6" t="s">
        <v>23</v>
      </c>
      <c r="M234" s="6" t="s">
        <v>23</v>
      </c>
      <c r="N234" s="6" t="s">
        <v>23</v>
      </c>
      <c r="O234" s="3">
        <f>VALUE(RIGHT(F234,1))</f>
        <v>1</v>
      </c>
    </row>
    <row r="235" ht="48" customHeight="1" spans="1:15" x14ac:dyDescent="0.25">
      <c r="A235" s="3" t="s">
        <v>588</v>
      </c>
      <c r="B235" s="4" t="s">
        <v>552</v>
      </c>
      <c r="C235" s="4" t="s">
        <v>582</v>
      </c>
      <c r="D235" s="3" t="s">
        <v>76</v>
      </c>
      <c r="E235" s="4" t="s">
        <v>589</v>
      </c>
      <c r="F235" s="3" t="s">
        <v>7</v>
      </c>
      <c r="G235" s="3" t="s">
        <v>23</v>
      </c>
      <c r="H235" s="3" t="s">
        <v>20</v>
      </c>
      <c r="I235" s="3" t="s">
        <v>20</v>
      </c>
      <c r="J235" s="4" t="s">
        <v>21</v>
      </c>
      <c r="K235" s="5" t="s">
        <v>22</v>
      </c>
      <c r="L235" s="6" t="s">
        <v>23</v>
      </c>
      <c r="M235" s="6" t="s">
        <v>23</v>
      </c>
      <c r="N235" s="6" t="s">
        <v>23</v>
      </c>
      <c r="O235" s="3">
        <f>VALUE(RIGHT(F235,1))</f>
        <v>2</v>
      </c>
    </row>
    <row r="236" ht="48" customHeight="1" spans="1:15" x14ac:dyDescent="0.25">
      <c r="A236" s="3" t="s">
        <v>590</v>
      </c>
      <c r="B236" s="4" t="s">
        <v>552</v>
      </c>
      <c r="C236" s="4" t="s">
        <v>582</v>
      </c>
      <c r="D236" s="3" t="s">
        <v>111</v>
      </c>
      <c r="E236" s="4" t="s">
        <v>591</v>
      </c>
      <c r="F236" s="3" t="s">
        <v>7</v>
      </c>
      <c r="G236" s="3" t="s">
        <v>23</v>
      </c>
      <c r="H236" s="3" t="s">
        <v>20</v>
      </c>
      <c r="I236" s="3" t="s">
        <v>20</v>
      </c>
      <c r="J236" s="4" t="s">
        <v>21</v>
      </c>
      <c r="K236" s="5" t="s">
        <v>22</v>
      </c>
      <c r="L236" s="6" t="s">
        <v>23</v>
      </c>
      <c r="M236" s="6" t="s">
        <v>23</v>
      </c>
      <c r="N236" s="6" t="s">
        <v>23</v>
      </c>
      <c r="O236" s="3">
        <f>VALUE(RIGHT(F236,1))</f>
        <v>2</v>
      </c>
    </row>
    <row r="237" ht="48" customHeight="1" spans="1:15" x14ac:dyDescent="0.25">
      <c r="A237" s="3" t="s">
        <v>592</v>
      </c>
      <c r="B237" s="4" t="s">
        <v>552</v>
      </c>
      <c r="C237" s="4" t="s">
        <v>593</v>
      </c>
      <c r="D237" s="3" t="s">
        <v>111</v>
      </c>
      <c r="E237" s="4" t="s">
        <v>594</v>
      </c>
      <c r="F237" s="3" t="s">
        <v>7</v>
      </c>
      <c r="G237" s="3" t="s">
        <v>23</v>
      </c>
      <c r="H237" s="3" t="s">
        <v>20</v>
      </c>
      <c r="I237" s="3" t="s">
        <v>20</v>
      </c>
      <c r="J237" s="4" t="s">
        <v>21</v>
      </c>
      <c r="K237" s="5" t="s">
        <v>22</v>
      </c>
      <c r="L237" s="6" t="s">
        <v>23</v>
      </c>
      <c r="M237" s="6" t="s">
        <v>23</v>
      </c>
      <c r="N237" s="6" t="s">
        <v>23</v>
      </c>
      <c r="O237" s="3">
        <f>VALUE(RIGHT(F237,1))</f>
        <v>2</v>
      </c>
    </row>
    <row r="238" ht="48" customHeight="1" spans="1:15" x14ac:dyDescent="0.25">
      <c r="A238" s="3" t="s">
        <v>595</v>
      </c>
      <c r="B238" s="4" t="s">
        <v>552</v>
      </c>
      <c r="C238" s="4" t="s">
        <v>593</v>
      </c>
      <c r="D238" s="3" t="s">
        <v>111</v>
      </c>
      <c r="E238" s="4" t="s">
        <v>596</v>
      </c>
      <c r="F238" s="3" t="s">
        <v>7</v>
      </c>
      <c r="G238" s="3" t="s">
        <v>23</v>
      </c>
      <c r="H238" s="3" t="s">
        <v>20</v>
      </c>
      <c r="I238" s="3" t="s">
        <v>20</v>
      </c>
      <c r="J238" s="4" t="s">
        <v>21</v>
      </c>
      <c r="K238" s="5" t="s">
        <v>22</v>
      </c>
      <c r="L238" s="6" t="s">
        <v>23</v>
      </c>
      <c r="M238" s="6" t="s">
        <v>23</v>
      </c>
      <c r="N238" s="6" t="s">
        <v>23</v>
      </c>
      <c r="O238" s="3">
        <f>VALUE(RIGHT(F238,1))</f>
        <v>2</v>
      </c>
    </row>
    <row r="239" ht="62" customHeight="1" spans="1:15" x14ac:dyDescent="0.25">
      <c r="A239" s="3" t="s">
        <v>597</v>
      </c>
      <c r="B239" s="4" t="s">
        <v>552</v>
      </c>
      <c r="C239" s="4" t="s">
        <v>598</v>
      </c>
      <c r="D239" s="3" t="s">
        <v>79</v>
      </c>
      <c r="E239" s="4" t="s">
        <v>599</v>
      </c>
      <c r="F239" s="3" t="s">
        <v>7</v>
      </c>
      <c r="G239" s="3" t="s">
        <v>23</v>
      </c>
      <c r="H239" s="3" t="s">
        <v>20</v>
      </c>
      <c r="I239" s="3" t="s">
        <v>20</v>
      </c>
      <c r="J239" s="4" t="s">
        <v>21</v>
      </c>
      <c r="K239" s="5" t="s">
        <v>22</v>
      </c>
      <c r="L239" s="6" t="s">
        <v>23</v>
      </c>
      <c r="M239" s="6" t="s">
        <v>23</v>
      </c>
      <c r="N239" s="6" t="s">
        <v>23</v>
      </c>
      <c r="O239" s="3">
        <f>VALUE(RIGHT(F239,1))</f>
        <v>2</v>
      </c>
    </row>
    <row r="240" ht="62" customHeight="1" spans="1:15" x14ac:dyDescent="0.25">
      <c r="A240" s="3" t="s">
        <v>600</v>
      </c>
      <c r="B240" s="4" t="s">
        <v>552</v>
      </c>
      <c r="C240" s="4" t="s">
        <v>598</v>
      </c>
      <c r="D240" s="3" t="s">
        <v>79</v>
      </c>
      <c r="E240" s="4" t="s">
        <v>601</v>
      </c>
      <c r="F240" s="3" t="s">
        <v>7</v>
      </c>
      <c r="G240" s="3" t="s">
        <v>23</v>
      </c>
      <c r="H240" s="3" t="s">
        <v>20</v>
      </c>
      <c r="I240" s="3" t="s">
        <v>20</v>
      </c>
      <c r="J240" s="4" t="s">
        <v>21</v>
      </c>
      <c r="K240" s="5" t="s">
        <v>22</v>
      </c>
      <c r="L240" s="6" t="s">
        <v>23</v>
      </c>
      <c r="M240" s="6" t="s">
        <v>23</v>
      </c>
      <c r="N240" s="6" t="s">
        <v>23</v>
      </c>
      <c r="O240" s="3">
        <f>VALUE(RIGHT(F240,1))</f>
        <v>2</v>
      </c>
    </row>
    <row r="241" ht="48" customHeight="1" spans="1:15" x14ac:dyDescent="0.25">
      <c r="A241" s="3" t="s">
        <v>602</v>
      </c>
      <c r="B241" s="4" t="s">
        <v>552</v>
      </c>
      <c r="C241" s="4" t="s">
        <v>598</v>
      </c>
      <c r="D241" s="3" t="s">
        <v>62</v>
      </c>
      <c r="E241" s="4" t="s">
        <v>603</v>
      </c>
      <c r="F241" s="3" t="s">
        <v>8</v>
      </c>
      <c r="G241" s="3" t="s">
        <v>23</v>
      </c>
      <c r="H241" s="3" t="s">
        <v>23</v>
      </c>
      <c r="I241" s="3" t="s">
        <v>20</v>
      </c>
      <c r="J241" s="4" t="s">
        <v>21</v>
      </c>
      <c r="K241" s="5" t="s">
        <v>22</v>
      </c>
      <c r="L241" s="6" t="s">
        <v>23</v>
      </c>
      <c r="M241" s="6" t="s">
        <v>23</v>
      </c>
      <c r="N241" s="6" t="s">
        <v>23</v>
      </c>
      <c r="O241" s="3">
        <f>VALUE(RIGHT(F241,1))</f>
        <v>3</v>
      </c>
    </row>
  </sheetData>
  <autoFilter ref="A1:N241"/>
  <conditionalFormatting sqref="F2:F241">
    <cfRule type="expression" dxfId="0" priority="1">
      <formula>$F2="L1"</formula>
    </cfRule>
    <cfRule type="expression" dxfId="1" priority="2">
      <formula>$F2="L2"</formula>
    </cfRule>
    <cfRule type="expression" dxfId="2" priority="3">
      <formula>$F2="L3"</formula>
    </cfRule>
  </conditionalFormatting>
  <conditionalFormatting sqref="K2:K241">
    <cfRule type="expression" dxfId="3" priority="10">
      <formula>$K2="Met"</formula>
    </cfRule>
    <cfRule type="expression" dxfId="4" priority="11">
      <formula>$K2="Partially Met"</formula>
    </cfRule>
    <cfRule type="expression" dxfId="5" priority="12">
      <formula>$K2="Unmet"</formula>
    </cfRule>
    <cfRule type="expression" dxfId="6" priority="13">
      <formula>$K2="Not applicable"</formula>
    </cfRule>
  </conditionalFormatting>
  <dataValidations count="1">
    <dataValidation type="list" allowBlank="1" showErrorMessage="1" errorTitle="Status" error="Please select a value from the drop-down list" sqref="K2:K241">
      <formula1>"Not assessed,Met,Partially Met,Unmet,Not applicable"</formula1>
    </dataValidation>
  </dataValidations>
  <pageSetup paperSize="8"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13" width="10" customWidth="1"/>
  </cols>
  <sheetData>
    <row r="1" spans="1:1" x14ac:dyDescent="0.25">
      <c r="A1" s="7" t="s">
        <v>604</v>
      </c>
    </row>
    <row r="2" spans="1:1" x14ac:dyDescent="0.25">
      <c r="A2" s="8" t="s">
        <v>605</v>
      </c>
    </row>
    <row r="4" ht="30" customHeight="1" spans="1:9" x14ac:dyDescent="0.25">
      <c r="A4" s="1" t="s">
        <v>606</v>
      </c>
      <c r="B4" s="1" t="s">
        <v>607</v>
      </c>
      <c r="C4" s="1" t="s">
        <v>608</v>
      </c>
      <c r="D4" s="1" t="s">
        <v>609</v>
      </c>
      <c r="E4" s="1" t="s">
        <v>610</v>
      </c>
      <c r="F4" s="1" t="s">
        <v>611</v>
      </c>
      <c r="G4" s="1" t="s">
        <v>22</v>
      </c>
      <c r="H4" s="1" t="s">
        <v>612</v>
      </c>
      <c r="I4" s="1" t="s">
        <v>613</v>
      </c>
    </row>
    <row r="5" spans="1:9" x14ac:dyDescent="0.25">
      <c r="A5" s="9" t="s">
        <v>614</v>
      </c>
      <c r="B5" s="10">
        <f>COUNTIFS('Assessment Sheet'!$O$2:$O$241,"&lt;=1")</f>
        <v>90</v>
      </c>
      <c r="C5" s="10">
        <f>COUNTIFS('Assessment Sheet'!$O$2:$O$241,"&lt;=1",'Assessment Sheet'!$K$2:$K$241,"Met")</f>
        <v>0</v>
      </c>
      <c r="D5" s="10">
        <f>COUNTIFS('Assessment Sheet'!$O$2:$O$241,"&lt;=1",'Assessment Sheet'!$K$2:$K$241,"Partially Met")</f>
        <v>0</v>
      </c>
      <c r="E5" s="10">
        <f>COUNTIFS('Assessment Sheet'!$O$2:$O$241,"&lt;=1",'Assessment Sheet'!$K$2:$K$241,"Unmet")</f>
        <v>0</v>
      </c>
      <c r="F5" s="10">
        <f>COUNTIFS('Assessment Sheet'!$O$2:$O$241,"&lt;=1",'Assessment Sheet'!$K$2:$K$241,"Not applicable")</f>
        <v>0</v>
      </c>
      <c r="G5" s="10">
        <f>B5-SUM(C5:F5)</f>
        <v>90</v>
      </c>
      <c r="H5" s="11">
        <f>IF(B5-F5=0,"—",C5/(B5-F5))</f>
        <v>0</v>
      </c>
      <c r="I5" s="10" t="str">
        <f>IF(C5=B5-F5,"Reached","Not reached")</f>
        <v>Not reached</v>
      </c>
    </row>
    <row r="6" spans="1:9" x14ac:dyDescent="0.25">
      <c r="A6" s="9" t="s">
        <v>615</v>
      </c>
      <c r="B6" s="10">
        <f>COUNTIFS('Assessment Sheet'!$O$2:$O$241,"&lt;=2")</f>
        <v>227</v>
      </c>
      <c r="C6" s="10">
        <f>COUNTIFS('Assessment Sheet'!$O$2:$O$241,"&lt;=2",'Assessment Sheet'!$K$2:$K$241,"Met")</f>
        <v>0</v>
      </c>
      <c r="D6" s="10">
        <f>COUNTIFS('Assessment Sheet'!$O$2:$O$241,"&lt;=2",'Assessment Sheet'!$K$2:$K$241,"Partially Met")</f>
        <v>0</v>
      </c>
      <c r="E6" s="10">
        <f>COUNTIFS('Assessment Sheet'!$O$2:$O$241,"&lt;=2",'Assessment Sheet'!$K$2:$K$241,"Unmet")</f>
        <v>0</v>
      </c>
      <c r="F6" s="10">
        <f>COUNTIFS('Assessment Sheet'!$O$2:$O$241,"&lt;=2",'Assessment Sheet'!$K$2:$K$241,"Not applicable")</f>
        <v>0</v>
      </c>
      <c r="G6" s="10">
        <f>B6-SUM(C6:F6)</f>
        <v>227</v>
      </c>
      <c r="H6" s="11">
        <f>IF(B6-F6=0,"—",C6/(B6-F6))</f>
        <v>0</v>
      </c>
      <c r="I6" s="10" t="str">
        <f>IF(C6=B6-F6,"Reached","Not reached")</f>
        <v>Not reached</v>
      </c>
    </row>
    <row r="7" spans="1:9" x14ac:dyDescent="0.25">
      <c r="A7" s="9" t="s">
        <v>616</v>
      </c>
      <c r="B7" s="10">
        <f>COUNTIFS('Assessment Sheet'!$O$2:$O$241,"&lt;=3")</f>
        <v>240</v>
      </c>
      <c r="C7" s="10">
        <f>COUNTIFS('Assessment Sheet'!$O$2:$O$241,"&lt;=3",'Assessment Sheet'!$K$2:$K$241,"Met")</f>
        <v>0</v>
      </c>
      <c r="D7" s="10">
        <f>COUNTIFS('Assessment Sheet'!$O$2:$O$241,"&lt;=3",'Assessment Sheet'!$K$2:$K$241,"Partially Met")</f>
        <v>0</v>
      </c>
      <c r="E7" s="10">
        <f>COUNTIFS('Assessment Sheet'!$O$2:$O$241,"&lt;=3",'Assessment Sheet'!$K$2:$K$241,"Unmet")</f>
        <v>0</v>
      </c>
      <c r="F7" s="10">
        <f>COUNTIFS('Assessment Sheet'!$O$2:$O$241,"&lt;=3",'Assessment Sheet'!$K$2:$K$241,"Not applicable")</f>
        <v>0</v>
      </c>
      <c r="G7" s="10">
        <f>B7-SUM(C7:F7)</f>
        <v>240</v>
      </c>
      <c r="H7" s="11">
        <f>IF(B7-F7=0,"—",C7/(B7-F7))</f>
        <v>0</v>
      </c>
      <c r="I7" s="10" t="str">
        <f>IF(C7=B7-F7,"Reached","Not reached")</f>
        <v>Not reached</v>
      </c>
    </row>
    <row r="10" spans="1:3" x14ac:dyDescent="0.25">
      <c r="A10" s="12" t="s">
        <v>617</v>
      </c>
      <c r="B10" s="13" t="s">
        <v>7</v>
      </c>
      <c r="C10" s="8" t="s">
        <v>618</v>
      </c>
    </row>
    <row r="12" spans="1:1" x14ac:dyDescent="0.25">
      <c r="A12" s="14" t="s">
        <v>619</v>
      </c>
    </row>
    <row r="13" ht="30" customHeight="1" spans="1:13" x14ac:dyDescent="0.25">
      <c r="A13" s="1" t="s">
        <v>620</v>
      </c>
      <c r="B13" s="1" t="s">
        <v>6</v>
      </c>
      <c r="C13" s="1" t="s">
        <v>621</v>
      </c>
      <c r="D13" s="1" t="s">
        <v>622</v>
      </c>
      <c r="E13" s="1" t="s">
        <v>623</v>
      </c>
      <c r="F13" s="15" t="s">
        <v>624</v>
      </c>
      <c r="G13" s="15" t="s">
        <v>608</v>
      </c>
      <c r="H13" s="15" t="s">
        <v>609</v>
      </c>
      <c r="I13" s="15" t="s">
        <v>610</v>
      </c>
      <c r="J13" s="15" t="s">
        <v>611</v>
      </c>
      <c r="K13" s="15" t="s">
        <v>22</v>
      </c>
      <c r="L13" s="15" t="s">
        <v>612</v>
      </c>
      <c r="M13" s="15" t="s">
        <v>625</v>
      </c>
    </row>
    <row r="14" spans="1:13" x14ac:dyDescent="0.25">
      <c r="A14" s="9" t="s">
        <v>18</v>
      </c>
      <c r="B14" s="10">
        <f>COUNTIFS('Assessment Sheet'!$D$2:$D$241,$A14,'Assessment Sheet'!$F$2:$F$241,"L1")</f>
        <v>7</v>
      </c>
      <c r="C14" s="10">
        <f>COUNTIFS('Assessment Sheet'!$D$2:$D$241,$A14,'Assessment Sheet'!$F$2:$F$241,"L2")</f>
        <v>12</v>
      </c>
      <c r="D14" s="10">
        <f>COUNTIFS('Assessment Sheet'!$D$2:$D$241,$A14,'Assessment Sheet'!$F$2:$F$241,"L3")</f>
        <v>3</v>
      </c>
      <c r="E14" s="10">
        <f>SUM(B14:D14)</f>
        <v>22</v>
      </c>
      <c r="F14" s="10">
        <f>COUNTIFS('Assessment Sheet'!$D$2:$D$241,$A14,'Assessment Sheet'!$O$2:$O$241,"&lt;="&amp;VALUE(RIGHT($B$10,1)))</f>
        <v>19</v>
      </c>
      <c r="G14" s="10">
        <f>COUNTIFS('Assessment Sheet'!$D$2:$D$241,$A14,'Assessment Sheet'!$O$2:$O$241,"&lt;="&amp;VALUE(RIGHT($B$10,1)),'Assessment Sheet'!$K$2:$K$241,"Met")</f>
        <v>0</v>
      </c>
      <c r="H14" s="10">
        <f>COUNTIFS('Assessment Sheet'!$D$2:$D$241,$A14,'Assessment Sheet'!$O$2:$O$241,"&lt;="&amp;VALUE(RIGHT($B$10,1)),'Assessment Sheet'!$K$2:$K$241,"Partially Met")</f>
        <v>0</v>
      </c>
      <c r="I14" s="10">
        <f>COUNTIFS('Assessment Sheet'!$D$2:$D$241,$A14,'Assessment Sheet'!$O$2:$O$241,"&lt;="&amp;VALUE(RIGHT($B$10,1)),'Assessment Sheet'!$K$2:$K$241,"Unmet")</f>
        <v>0</v>
      </c>
      <c r="J14" s="10">
        <f>COUNTIFS('Assessment Sheet'!$D$2:$D$241,$A14,'Assessment Sheet'!$O$2:$O$241,"&lt;="&amp;VALUE(RIGHT($B$10,1)),'Assessment Sheet'!$K$2:$K$241,"Not applicable")</f>
        <v>0</v>
      </c>
      <c r="K14" s="10">
        <f>F14-SUM(G14:J14)</f>
        <v>19</v>
      </c>
      <c r="L14" s="11">
        <f>IF(F14-J14=0,"—",G14/(F14-J14))</f>
        <v>0</v>
      </c>
      <c r="M14" s="10" t="str">
        <f>IF(COUNTIFS('Assessment Sheet'!$D$2:$D$241,$A14,'Assessment Sheet'!$O$2:$O$241,"&lt;=1",'Assessment Sheet'!$K$2:$K$241,"&lt;&gt;Met",'Assessment Sheet'!$K$2:$K$241,"&lt;&gt;Not applicable")&gt;0,"Below L1",IF(COUNTIFS('Assessment Sheet'!$D$2:$D$241,$A14,'Assessment Sheet'!$O$2:$O$241,"&lt;=2",'Assessment Sheet'!$K$2:$K$241,"&lt;&gt;Met",'Assessment Sheet'!$K$2:$K$241,"&lt;&gt;Not applicable")&gt;0,"L1",IF(COUNTIFS('Assessment Sheet'!$D$2:$D$241,$A14,'Assessment Sheet'!$O$2:$O$241,"&lt;=3",'Assessment Sheet'!$K$2:$K$241,"&lt;&gt;Met",'Assessment Sheet'!$K$2:$K$241,"&lt;&gt;Not applicable")&gt;0,"L2","L3")))</f>
        <v>Below L1</v>
      </c>
    </row>
    <row r="15" spans="1:13" x14ac:dyDescent="0.25">
      <c r="A15" s="9" t="s">
        <v>32</v>
      </c>
      <c r="B15" s="10">
        <f>COUNTIFS('Assessment Sheet'!$D$2:$D$241,$A15,'Assessment Sheet'!$F$2:$F$241,"L1")</f>
        <v>8</v>
      </c>
      <c r="C15" s="10">
        <f>COUNTIFS('Assessment Sheet'!$D$2:$D$241,$A15,'Assessment Sheet'!$F$2:$F$241,"L2")</f>
        <v>10</v>
      </c>
      <c r="D15" s="10">
        <f>COUNTIFS('Assessment Sheet'!$D$2:$D$241,$A15,'Assessment Sheet'!$F$2:$F$241,"L3")</f>
        <v>0</v>
      </c>
      <c r="E15" s="10">
        <f>SUM(B15:D15)</f>
        <v>18</v>
      </c>
      <c r="F15" s="10">
        <f>COUNTIFS('Assessment Sheet'!$D$2:$D$241,$A15,'Assessment Sheet'!$O$2:$O$241,"&lt;="&amp;VALUE(RIGHT($B$10,1)))</f>
        <v>18</v>
      </c>
      <c r="G15" s="10">
        <f>COUNTIFS('Assessment Sheet'!$D$2:$D$241,$A15,'Assessment Sheet'!$O$2:$O$241,"&lt;="&amp;VALUE(RIGHT($B$10,1)),'Assessment Sheet'!$K$2:$K$241,"Met")</f>
        <v>0</v>
      </c>
      <c r="H15" s="10">
        <f>COUNTIFS('Assessment Sheet'!$D$2:$D$241,$A15,'Assessment Sheet'!$O$2:$O$241,"&lt;="&amp;VALUE(RIGHT($B$10,1)),'Assessment Sheet'!$K$2:$K$241,"Partially Met")</f>
        <v>0</v>
      </c>
      <c r="I15" s="10">
        <f>COUNTIFS('Assessment Sheet'!$D$2:$D$241,$A15,'Assessment Sheet'!$O$2:$O$241,"&lt;="&amp;VALUE(RIGHT($B$10,1)),'Assessment Sheet'!$K$2:$K$241,"Unmet")</f>
        <v>0</v>
      </c>
      <c r="J15" s="10">
        <f>COUNTIFS('Assessment Sheet'!$D$2:$D$241,$A15,'Assessment Sheet'!$O$2:$O$241,"&lt;="&amp;VALUE(RIGHT($B$10,1)),'Assessment Sheet'!$K$2:$K$241,"Not applicable")</f>
        <v>0</v>
      </c>
      <c r="K15" s="10">
        <f>F15-SUM(G15:J15)</f>
        <v>18</v>
      </c>
      <c r="L15" s="11">
        <f>IF(F15-J15=0,"—",G15/(F15-J15))</f>
        <v>0</v>
      </c>
      <c r="M15" s="10" t="str">
        <f>IF(COUNTIFS('Assessment Sheet'!$D$2:$D$241,$A15,'Assessment Sheet'!$O$2:$O$241,"&lt;=1",'Assessment Sheet'!$K$2:$K$241,"&lt;&gt;Met",'Assessment Sheet'!$K$2:$K$241,"&lt;&gt;Not applicable")&gt;0,"Below L1",IF(COUNTIFS('Assessment Sheet'!$D$2:$D$241,$A15,'Assessment Sheet'!$O$2:$O$241,"&lt;=2",'Assessment Sheet'!$K$2:$K$241,"&lt;&gt;Met",'Assessment Sheet'!$K$2:$K$241,"&lt;&gt;Not applicable")&gt;0,"L1",IF(COUNTIFS('Assessment Sheet'!$D$2:$D$241,$A15,'Assessment Sheet'!$O$2:$O$241,"&lt;=3",'Assessment Sheet'!$K$2:$K$241,"&lt;&gt;Met",'Assessment Sheet'!$K$2:$K$241,"&lt;&gt;Not applicable")&gt;0,"L2","L3")))</f>
        <v>Below L1</v>
      </c>
    </row>
    <row r="16" spans="1:13" x14ac:dyDescent="0.25">
      <c r="A16" s="9" t="s">
        <v>62</v>
      </c>
      <c r="B16" s="10">
        <f>COUNTIFS('Assessment Sheet'!$D$2:$D$241,$A16,'Assessment Sheet'!$F$2:$F$241,"L1")</f>
        <v>18</v>
      </c>
      <c r="C16" s="10">
        <f>COUNTIFS('Assessment Sheet'!$D$2:$D$241,$A16,'Assessment Sheet'!$F$2:$F$241,"L2")</f>
        <v>28</v>
      </c>
      <c r="D16" s="10">
        <f>COUNTIFS('Assessment Sheet'!$D$2:$D$241,$A16,'Assessment Sheet'!$F$2:$F$241,"L3")</f>
        <v>2</v>
      </c>
      <c r="E16" s="10">
        <f>SUM(B16:D16)</f>
        <v>48</v>
      </c>
      <c r="F16" s="10">
        <f>COUNTIFS('Assessment Sheet'!$D$2:$D$241,$A16,'Assessment Sheet'!$O$2:$O$241,"&lt;="&amp;VALUE(RIGHT($B$10,1)))</f>
        <v>46</v>
      </c>
      <c r="G16" s="10">
        <f>COUNTIFS('Assessment Sheet'!$D$2:$D$241,$A16,'Assessment Sheet'!$O$2:$O$241,"&lt;="&amp;VALUE(RIGHT($B$10,1)),'Assessment Sheet'!$K$2:$K$241,"Met")</f>
        <v>0</v>
      </c>
      <c r="H16" s="10">
        <f>COUNTIFS('Assessment Sheet'!$D$2:$D$241,$A16,'Assessment Sheet'!$O$2:$O$241,"&lt;="&amp;VALUE(RIGHT($B$10,1)),'Assessment Sheet'!$K$2:$K$241,"Partially Met")</f>
        <v>0</v>
      </c>
      <c r="I16" s="10">
        <f>COUNTIFS('Assessment Sheet'!$D$2:$D$241,$A16,'Assessment Sheet'!$O$2:$O$241,"&lt;="&amp;VALUE(RIGHT($B$10,1)),'Assessment Sheet'!$K$2:$K$241,"Unmet")</f>
        <v>0</v>
      </c>
      <c r="J16" s="10">
        <f>COUNTIFS('Assessment Sheet'!$D$2:$D$241,$A16,'Assessment Sheet'!$O$2:$O$241,"&lt;="&amp;VALUE(RIGHT($B$10,1)),'Assessment Sheet'!$K$2:$K$241,"Not applicable")</f>
        <v>0</v>
      </c>
      <c r="K16" s="10">
        <f>F16-SUM(G16:J16)</f>
        <v>46</v>
      </c>
      <c r="L16" s="11">
        <f>IF(F16-J16=0,"—",G16/(F16-J16))</f>
        <v>0</v>
      </c>
      <c r="M16" s="10" t="str">
        <f>IF(COUNTIFS('Assessment Sheet'!$D$2:$D$241,$A16,'Assessment Sheet'!$O$2:$O$241,"&lt;=1",'Assessment Sheet'!$K$2:$K$241,"&lt;&gt;Met",'Assessment Sheet'!$K$2:$K$241,"&lt;&gt;Not applicable")&gt;0,"Below L1",IF(COUNTIFS('Assessment Sheet'!$D$2:$D$241,$A16,'Assessment Sheet'!$O$2:$O$241,"&lt;=2",'Assessment Sheet'!$K$2:$K$241,"&lt;&gt;Met",'Assessment Sheet'!$K$2:$K$241,"&lt;&gt;Not applicable")&gt;0,"L1",IF(COUNTIFS('Assessment Sheet'!$D$2:$D$241,$A16,'Assessment Sheet'!$O$2:$O$241,"&lt;=3",'Assessment Sheet'!$K$2:$K$241,"&lt;&gt;Met",'Assessment Sheet'!$K$2:$K$241,"&lt;&gt;Not applicable")&gt;0,"L2","L3")))</f>
        <v>Below L1</v>
      </c>
    </row>
    <row r="17" spans="1:13" x14ac:dyDescent="0.25">
      <c r="A17" s="9" t="s">
        <v>76</v>
      </c>
      <c r="B17" s="10">
        <f>COUNTIFS('Assessment Sheet'!$D$2:$D$241,$A17,'Assessment Sheet'!$F$2:$F$241,"L1")</f>
        <v>12</v>
      </c>
      <c r="C17" s="10">
        <f>COUNTIFS('Assessment Sheet'!$D$2:$D$241,$A17,'Assessment Sheet'!$F$2:$F$241,"L2")</f>
        <v>12</v>
      </c>
      <c r="D17" s="10">
        <f>COUNTIFS('Assessment Sheet'!$D$2:$D$241,$A17,'Assessment Sheet'!$F$2:$F$241,"L3")</f>
        <v>5</v>
      </c>
      <c r="E17" s="10">
        <f>SUM(B17:D17)</f>
        <v>29</v>
      </c>
      <c r="F17" s="10">
        <f>COUNTIFS('Assessment Sheet'!$D$2:$D$241,$A17,'Assessment Sheet'!$O$2:$O$241,"&lt;="&amp;VALUE(RIGHT($B$10,1)))</f>
        <v>24</v>
      </c>
      <c r="G17" s="10">
        <f>COUNTIFS('Assessment Sheet'!$D$2:$D$241,$A17,'Assessment Sheet'!$O$2:$O$241,"&lt;="&amp;VALUE(RIGHT($B$10,1)),'Assessment Sheet'!$K$2:$K$241,"Met")</f>
        <v>0</v>
      </c>
      <c r="H17" s="10">
        <f>COUNTIFS('Assessment Sheet'!$D$2:$D$241,$A17,'Assessment Sheet'!$O$2:$O$241,"&lt;="&amp;VALUE(RIGHT($B$10,1)),'Assessment Sheet'!$K$2:$K$241,"Partially Met")</f>
        <v>0</v>
      </c>
      <c r="I17" s="10">
        <f>COUNTIFS('Assessment Sheet'!$D$2:$D$241,$A17,'Assessment Sheet'!$O$2:$O$241,"&lt;="&amp;VALUE(RIGHT($B$10,1)),'Assessment Sheet'!$K$2:$K$241,"Unmet")</f>
        <v>0</v>
      </c>
      <c r="J17" s="10">
        <f>COUNTIFS('Assessment Sheet'!$D$2:$D$241,$A17,'Assessment Sheet'!$O$2:$O$241,"&lt;="&amp;VALUE(RIGHT($B$10,1)),'Assessment Sheet'!$K$2:$K$241,"Not applicable")</f>
        <v>0</v>
      </c>
      <c r="K17" s="10">
        <f>F17-SUM(G17:J17)</f>
        <v>24</v>
      </c>
      <c r="L17" s="11">
        <f>IF(F17-J17=0,"—",G17/(F17-J17))</f>
        <v>0</v>
      </c>
      <c r="M17" s="10" t="str">
        <f>IF(COUNTIFS('Assessment Sheet'!$D$2:$D$241,$A17,'Assessment Sheet'!$O$2:$O$241,"&lt;=1",'Assessment Sheet'!$K$2:$K$241,"&lt;&gt;Met",'Assessment Sheet'!$K$2:$K$241,"&lt;&gt;Not applicable")&gt;0,"Below L1",IF(COUNTIFS('Assessment Sheet'!$D$2:$D$241,$A17,'Assessment Sheet'!$O$2:$O$241,"&lt;=2",'Assessment Sheet'!$K$2:$K$241,"&lt;&gt;Met",'Assessment Sheet'!$K$2:$K$241,"&lt;&gt;Not applicable")&gt;0,"L1",IF(COUNTIFS('Assessment Sheet'!$D$2:$D$241,$A17,'Assessment Sheet'!$O$2:$O$241,"&lt;=3",'Assessment Sheet'!$K$2:$K$241,"&lt;&gt;Met",'Assessment Sheet'!$K$2:$K$241,"&lt;&gt;Not applicable")&gt;0,"L2","L3")))</f>
        <v>Below L1</v>
      </c>
    </row>
    <row r="18" spans="1:13" x14ac:dyDescent="0.25">
      <c r="A18" s="9" t="s">
        <v>65</v>
      </c>
      <c r="B18" s="10">
        <f>COUNTIFS('Assessment Sheet'!$D$2:$D$241,$A18,'Assessment Sheet'!$F$2:$F$241,"L1")</f>
        <v>16</v>
      </c>
      <c r="C18" s="10">
        <f>COUNTIFS('Assessment Sheet'!$D$2:$D$241,$A18,'Assessment Sheet'!$F$2:$F$241,"L2")</f>
        <v>16</v>
      </c>
      <c r="D18" s="10">
        <f>COUNTIFS('Assessment Sheet'!$D$2:$D$241,$A18,'Assessment Sheet'!$F$2:$F$241,"L3")</f>
        <v>0</v>
      </c>
      <c r="E18" s="10">
        <f>SUM(B18:D18)</f>
        <v>32</v>
      </c>
      <c r="F18" s="10">
        <f>COUNTIFS('Assessment Sheet'!$D$2:$D$241,$A18,'Assessment Sheet'!$O$2:$O$241,"&lt;="&amp;VALUE(RIGHT($B$10,1)))</f>
        <v>32</v>
      </c>
      <c r="G18" s="10">
        <f>COUNTIFS('Assessment Sheet'!$D$2:$D$241,$A18,'Assessment Sheet'!$O$2:$O$241,"&lt;="&amp;VALUE(RIGHT($B$10,1)),'Assessment Sheet'!$K$2:$K$241,"Met")</f>
        <v>0</v>
      </c>
      <c r="H18" s="10">
        <f>COUNTIFS('Assessment Sheet'!$D$2:$D$241,$A18,'Assessment Sheet'!$O$2:$O$241,"&lt;="&amp;VALUE(RIGHT($B$10,1)),'Assessment Sheet'!$K$2:$K$241,"Partially Met")</f>
        <v>0</v>
      </c>
      <c r="I18" s="10">
        <f>COUNTIFS('Assessment Sheet'!$D$2:$D$241,$A18,'Assessment Sheet'!$O$2:$O$241,"&lt;="&amp;VALUE(RIGHT($B$10,1)),'Assessment Sheet'!$K$2:$K$241,"Unmet")</f>
        <v>0</v>
      </c>
      <c r="J18" s="10">
        <f>COUNTIFS('Assessment Sheet'!$D$2:$D$241,$A18,'Assessment Sheet'!$O$2:$O$241,"&lt;="&amp;VALUE(RIGHT($B$10,1)),'Assessment Sheet'!$K$2:$K$241,"Not applicable")</f>
        <v>0</v>
      </c>
      <c r="K18" s="10">
        <f>F18-SUM(G18:J18)</f>
        <v>32</v>
      </c>
      <c r="L18" s="11">
        <f>IF(F18-J18=0,"—",G18/(F18-J18))</f>
        <v>0</v>
      </c>
      <c r="M18" s="10" t="str">
        <f>IF(COUNTIFS('Assessment Sheet'!$D$2:$D$241,$A18,'Assessment Sheet'!$O$2:$O$241,"&lt;=1",'Assessment Sheet'!$K$2:$K$241,"&lt;&gt;Met",'Assessment Sheet'!$K$2:$K$241,"&lt;&gt;Not applicable")&gt;0,"Below L1",IF(COUNTIFS('Assessment Sheet'!$D$2:$D$241,$A18,'Assessment Sheet'!$O$2:$O$241,"&lt;=2",'Assessment Sheet'!$K$2:$K$241,"&lt;&gt;Met",'Assessment Sheet'!$K$2:$K$241,"&lt;&gt;Not applicable")&gt;0,"L1",IF(COUNTIFS('Assessment Sheet'!$D$2:$D$241,$A18,'Assessment Sheet'!$O$2:$O$241,"&lt;=3",'Assessment Sheet'!$K$2:$K$241,"&lt;&gt;Met",'Assessment Sheet'!$K$2:$K$241,"&lt;&gt;Not applicable")&gt;0,"L2","L3")))</f>
        <v>Below L1</v>
      </c>
    </row>
    <row r="19" spans="1:13" x14ac:dyDescent="0.25">
      <c r="A19" s="9" t="s">
        <v>51</v>
      </c>
      <c r="B19" s="10">
        <f>COUNTIFS('Assessment Sheet'!$D$2:$D$241,$A19,'Assessment Sheet'!$F$2:$F$241,"L1")</f>
        <v>2</v>
      </c>
      <c r="C19" s="10">
        <f>COUNTIFS('Assessment Sheet'!$D$2:$D$241,$A19,'Assessment Sheet'!$F$2:$F$241,"L2")</f>
        <v>2</v>
      </c>
      <c r="D19" s="10">
        <f>COUNTIFS('Assessment Sheet'!$D$2:$D$241,$A19,'Assessment Sheet'!$F$2:$F$241,"L3")</f>
        <v>0</v>
      </c>
      <c r="E19" s="10">
        <f>SUM(B19:D19)</f>
        <v>4</v>
      </c>
      <c r="F19" s="10">
        <f>COUNTIFS('Assessment Sheet'!$D$2:$D$241,$A19,'Assessment Sheet'!$O$2:$O$241,"&lt;="&amp;VALUE(RIGHT($B$10,1)))</f>
        <v>4</v>
      </c>
      <c r="G19" s="10">
        <f>COUNTIFS('Assessment Sheet'!$D$2:$D$241,$A19,'Assessment Sheet'!$O$2:$O$241,"&lt;="&amp;VALUE(RIGHT($B$10,1)),'Assessment Sheet'!$K$2:$K$241,"Met")</f>
        <v>0</v>
      </c>
      <c r="H19" s="10">
        <f>COUNTIFS('Assessment Sheet'!$D$2:$D$241,$A19,'Assessment Sheet'!$O$2:$O$241,"&lt;="&amp;VALUE(RIGHT($B$10,1)),'Assessment Sheet'!$K$2:$K$241,"Partially Met")</f>
        <v>0</v>
      </c>
      <c r="I19" s="10">
        <f>COUNTIFS('Assessment Sheet'!$D$2:$D$241,$A19,'Assessment Sheet'!$O$2:$O$241,"&lt;="&amp;VALUE(RIGHT($B$10,1)),'Assessment Sheet'!$K$2:$K$241,"Unmet")</f>
        <v>0</v>
      </c>
      <c r="J19" s="10">
        <f>COUNTIFS('Assessment Sheet'!$D$2:$D$241,$A19,'Assessment Sheet'!$O$2:$O$241,"&lt;="&amp;VALUE(RIGHT($B$10,1)),'Assessment Sheet'!$K$2:$K$241,"Not applicable")</f>
        <v>0</v>
      </c>
      <c r="K19" s="10">
        <f>F19-SUM(G19:J19)</f>
        <v>4</v>
      </c>
      <c r="L19" s="11">
        <f>IF(F19-J19=0,"—",G19/(F19-J19))</f>
        <v>0</v>
      </c>
      <c r="M19" s="10" t="str">
        <f>IF(COUNTIFS('Assessment Sheet'!$D$2:$D$241,$A19,'Assessment Sheet'!$O$2:$O$241,"&lt;=1",'Assessment Sheet'!$K$2:$K$241,"&lt;&gt;Met",'Assessment Sheet'!$K$2:$K$241,"&lt;&gt;Not applicable")&gt;0,"Below L1",IF(COUNTIFS('Assessment Sheet'!$D$2:$D$241,$A19,'Assessment Sheet'!$O$2:$O$241,"&lt;=2",'Assessment Sheet'!$K$2:$K$241,"&lt;&gt;Met",'Assessment Sheet'!$K$2:$K$241,"&lt;&gt;Not applicable")&gt;0,"L1",IF(COUNTIFS('Assessment Sheet'!$D$2:$D$241,$A19,'Assessment Sheet'!$O$2:$O$241,"&lt;=3",'Assessment Sheet'!$K$2:$K$241,"&lt;&gt;Met",'Assessment Sheet'!$K$2:$K$241,"&lt;&gt;Not applicable")&gt;0,"L2","L3")))</f>
        <v>Below L1</v>
      </c>
    </row>
    <row r="20" spans="1:13" x14ac:dyDescent="0.25">
      <c r="A20" s="9" t="s">
        <v>403</v>
      </c>
      <c r="B20" s="10">
        <f>COUNTIFS('Assessment Sheet'!$D$2:$D$241,$A20,'Assessment Sheet'!$F$2:$F$241,"L1")</f>
        <v>3</v>
      </c>
      <c r="C20" s="10">
        <f>COUNTIFS('Assessment Sheet'!$D$2:$D$241,$A20,'Assessment Sheet'!$F$2:$F$241,"L2")</f>
        <v>11</v>
      </c>
      <c r="D20" s="10">
        <f>COUNTIFS('Assessment Sheet'!$D$2:$D$241,$A20,'Assessment Sheet'!$F$2:$F$241,"L3")</f>
        <v>0</v>
      </c>
      <c r="E20" s="10">
        <f>SUM(B20:D20)</f>
        <v>14</v>
      </c>
      <c r="F20" s="10">
        <f>COUNTIFS('Assessment Sheet'!$D$2:$D$241,$A20,'Assessment Sheet'!$O$2:$O$241,"&lt;="&amp;VALUE(RIGHT($B$10,1)))</f>
        <v>14</v>
      </c>
      <c r="G20" s="10">
        <f>COUNTIFS('Assessment Sheet'!$D$2:$D$241,$A20,'Assessment Sheet'!$O$2:$O$241,"&lt;="&amp;VALUE(RIGHT($B$10,1)),'Assessment Sheet'!$K$2:$K$241,"Met")</f>
        <v>0</v>
      </c>
      <c r="H20" s="10">
        <f>COUNTIFS('Assessment Sheet'!$D$2:$D$241,$A20,'Assessment Sheet'!$O$2:$O$241,"&lt;="&amp;VALUE(RIGHT($B$10,1)),'Assessment Sheet'!$K$2:$K$241,"Partially Met")</f>
        <v>0</v>
      </c>
      <c r="I20" s="10">
        <f>COUNTIFS('Assessment Sheet'!$D$2:$D$241,$A20,'Assessment Sheet'!$O$2:$O$241,"&lt;="&amp;VALUE(RIGHT($B$10,1)),'Assessment Sheet'!$K$2:$K$241,"Unmet")</f>
        <v>0</v>
      </c>
      <c r="J20" s="10">
        <f>COUNTIFS('Assessment Sheet'!$D$2:$D$241,$A20,'Assessment Sheet'!$O$2:$O$241,"&lt;="&amp;VALUE(RIGHT($B$10,1)),'Assessment Sheet'!$K$2:$K$241,"Not applicable")</f>
        <v>0</v>
      </c>
      <c r="K20" s="10">
        <f>F20-SUM(G20:J20)</f>
        <v>14</v>
      </c>
      <c r="L20" s="11">
        <f>IF(F20-J20=0,"—",G20/(F20-J20))</f>
        <v>0</v>
      </c>
      <c r="M20" s="10" t="str">
        <f>IF(COUNTIFS('Assessment Sheet'!$D$2:$D$241,$A20,'Assessment Sheet'!$O$2:$O$241,"&lt;=1",'Assessment Sheet'!$K$2:$K$241,"&lt;&gt;Met",'Assessment Sheet'!$K$2:$K$241,"&lt;&gt;Not applicable")&gt;0,"Below L1",IF(COUNTIFS('Assessment Sheet'!$D$2:$D$241,$A20,'Assessment Sheet'!$O$2:$O$241,"&lt;=2",'Assessment Sheet'!$K$2:$K$241,"&lt;&gt;Met",'Assessment Sheet'!$K$2:$K$241,"&lt;&gt;Not applicable")&gt;0,"L1",IF(COUNTIFS('Assessment Sheet'!$D$2:$D$241,$A20,'Assessment Sheet'!$O$2:$O$241,"&lt;=3",'Assessment Sheet'!$K$2:$K$241,"&lt;&gt;Met",'Assessment Sheet'!$K$2:$K$241,"&lt;&gt;Not applicable")&gt;0,"L2","L3")))</f>
        <v>Below L1</v>
      </c>
    </row>
    <row r="21" spans="1:13" x14ac:dyDescent="0.25">
      <c r="A21" s="9" t="s">
        <v>232</v>
      </c>
      <c r="B21" s="10">
        <f>COUNTIFS('Assessment Sheet'!$D$2:$D$241,$A21,'Assessment Sheet'!$F$2:$F$241,"L1")</f>
        <v>7</v>
      </c>
      <c r="C21" s="10">
        <f>COUNTIFS('Assessment Sheet'!$D$2:$D$241,$A21,'Assessment Sheet'!$F$2:$F$241,"L2")</f>
        <v>6</v>
      </c>
      <c r="D21" s="10">
        <f>COUNTIFS('Assessment Sheet'!$D$2:$D$241,$A21,'Assessment Sheet'!$F$2:$F$241,"L3")</f>
        <v>0</v>
      </c>
      <c r="E21" s="10">
        <f>SUM(B21:D21)</f>
        <v>13</v>
      </c>
      <c r="F21" s="10">
        <f>COUNTIFS('Assessment Sheet'!$D$2:$D$241,$A21,'Assessment Sheet'!$O$2:$O$241,"&lt;="&amp;VALUE(RIGHT($B$10,1)))</f>
        <v>13</v>
      </c>
      <c r="G21" s="10">
        <f>COUNTIFS('Assessment Sheet'!$D$2:$D$241,$A21,'Assessment Sheet'!$O$2:$O$241,"&lt;="&amp;VALUE(RIGHT($B$10,1)),'Assessment Sheet'!$K$2:$K$241,"Met")</f>
        <v>0</v>
      </c>
      <c r="H21" s="10">
        <f>COUNTIFS('Assessment Sheet'!$D$2:$D$241,$A21,'Assessment Sheet'!$O$2:$O$241,"&lt;="&amp;VALUE(RIGHT($B$10,1)),'Assessment Sheet'!$K$2:$K$241,"Partially Met")</f>
        <v>0</v>
      </c>
      <c r="I21" s="10">
        <f>COUNTIFS('Assessment Sheet'!$D$2:$D$241,$A21,'Assessment Sheet'!$O$2:$O$241,"&lt;="&amp;VALUE(RIGHT($B$10,1)),'Assessment Sheet'!$K$2:$K$241,"Unmet")</f>
        <v>0</v>
      </c>
      <c r="J21" s="10">
        <f>COUNTIFS('Assessment Sheet'!$D$2:$D$241,$A21,'Assessment Sheet'!$O$2:$O$241,"&lt;="&amp;VALUE(RIGHT($B$10,1)),'Assessment Sheet'!$K$2:$K$241,"Not applicable")</f>
        <v>0</v>
      </c>
      <c r="K21" s="10">
        <f>F21-SUM(G21:J21)</f>
        <v>13</v>
      </c>
      <c r="L21" s="11">
        <f>IF(F21-J21=0,"—",G21/(F21-J21))</f>
        <v>0</v>
      </c>
      <c r="M21" s="10" t="str">
        <f>IF(COUNTIFS('Assessment Sheet'!$D$2:$D$241,$A21,'Assessment Sheet'!$O$2:$O$241,"&lt;=1",'Assessment Sheet'!$K$2:$K$241,"&lt;&gt;Met",'Assessment Sheet'!$K$2:$K$241,"&lt;&gt;Not applicable")&gt;0,"Below L1",IF(COUNTIFS('Assessment Sheet'!$D$2:$D$241,$A21,'Assessment Sheet'!$O$2:$O$241,"&lt;=2",'Assessment Sheet'!$K$2:$K$241,"&lt;&gt;Met",'Assessment Sheet'!$K$2:$K$241,"&lt;&gt;Not applicable")&gt;0,"L1",IF(COUNTIFS('Assessment Sheet'!$D$2:$D$241,$A21,'Assessment Sheet'!$O$2:$O$241,"&lt;=3",'Assessment Sheet'!$K$2:$K$241,"&lt;&gt;Met",'Assessment Sheet'!$K$2:$K$241,"&lt;&gt;Not applicable")&gt;0,"L2","L3")))</f>
        <v>Below L1</v>
      </c>
    </row>
    <row r="22" spans="1:13" x14ac:dyDescent="0.25">
      <c r="A22" s="9" t="s">
        <v>111</v>
      </c>
      <c r="B22" s="10">
        <f>COUNTIFS('Assessment Sheet'!$D$2:$D$241,$A22,'Assessment Sheet'!$F$2:$F$241,"L1")</f>
        <v>13</v>
      </c>
      <c r="C22" s="10">
        <f>COUNTIFS('Assessment Sheet'!$D$2:$D$241,$A22,'Assessment Sheet'!$F$2:$F$241,"L2")</f>
        <v>26</v>
      </c>
      <c r="D22" s="10">
        <f>COUNTIFS('Assessment Sheet'!$D$2:$D$241,$A22,'Assessment Sheet'!$F$2:$F$241,"L3")</f>
        <v>1</v>
      </c>
      <c r="E22" s="10">
        <f>SUM(B22:D22)</f>
        <v>40</v>
      </c>
      <c r="F22" s="10">
        <f>COUNTIFS('Assessment Sheet'!$D$2:$D$241,$A22,'Assessment Sheet'!$O$2:$O$241,"&lt;="&amp;VALUE(RIGHT($B$10,1)))</f>
        <v>39</v>
      </c>
      <c r="G22" s="10">
        <f>COUNTIFS('Assessment Sheet'!$D$2:$D$241,$A22,'Assessment Sheet'!$O$2:$O$241,"&lt;="&amp;VALUE(RIGHT($B$10,1)),'Assessment Sheet'!$K$2:$K$241,"Met")</f>
        <v>0</v>
      </c>
      <c r="H22" s="10">
        <f>COUNTIFS('Assessment Sheet'!$D$2:$D$241,$A22,'Assessment Sheet'!$O$2:$O$241,"&lt;="&amp;VALUE(RIGHT($B$10,1)),'Assessment Sheet'!$K$2:$K$241,"Partially Met")</f>
        <v>0</v>
      </c>
      <c r="I22" s="10">
        <f>COUNTIFS('Assessment Sheet'!$D$2:$D$241,$A22,'Assessment Sheet'!$O$2:$O$241,"&lt;="&amp;VALUE(RIGHT($B$10,1)),'Assessment Sheet'!$K$2:$K$241,"Unmet")</f>
        <v>0</v>
      </c>
      <c r="J22" s="10">
        <f>COUNTIFS('Assessment Sheet'!$D$2:$D$241,$A22,'Assessment Sheet'!$O$2:$O$241,"&lt;="&amp;VALUE(RIGHT($B$10,1)),'Assessment Sheet'!$K$2:$K$241,"Not applicable")</f>
        <v>0</v>
      </c>
      <c r="K22" s="10">
        <f>F22-SUM(G22:J22)</f>
        <v>39</v>
      </c>
      <c r="L22" s="11">
        <f>IF(F22-J22=0,"—",G22/(F22-J22))</f>
        <v>0</v>
      </c>
      <c r="M22" s="10" t="str">
        <f>IF(COUNTIFS('Assessment Sheet'!$D$2:$D$241,$A22,'Assessment Sheet'!$O$2:$O$241,"&lt;=1",'Assessment Sheet'!$K$2:$K$241,"&lt;&gt;Met",'Assessment Sheet'!$K$2:$K$241,"&lt;&gt;Not applicable")&gt;0,"Below L1",IF(COUNTIFS('Assessment Sheet'!$D$2:$D$241,$A22,'Assessment Sheet'!$O$2:$O$241,"&lt;=2",'Assessment Sheet'!$K$2:$K$241,"&lt;&gt;Met",'Assessment Sheet'!$K$2:$K$241,"&lt;&gt;Not applicable")&gt;0,"L1",IF(COUNTIFS('Assessment Sheet'!$D$2:$D$241,$A22,'Assessment Sheet'!$O$2:$O$241,"&lt;=3",'Assessment Sheet'!$K$2:$K$241,"&lt;&gt;Met",'Assessment Sheet'!$K$2:$K$241,"&lt;&gt;Not applicable")&gt;0,"L2","L3")))</f>
        <v>Below L1</v>
      </c>
    </row>
    <row r="23" spans="1:13" x14ac:dyDescent="0.25">
      <c r="A23" s="9" t="s">
        <v>79</v>
      </c>
      <c r="B23" s="10">
        <f>COUNTIFS('Assessment Sheet'!$D$2:$D$241,$A23,'Assessment Sheet'!$F$2:$F$241,"L1")</f>
        <v>4</v>
      </c>
      <c r="C23" s="10">
        <f>COUNTIFS('Assessment Sheet'!$D$2:$D$241,$A23,'Assessment Sheet'!$F$2:$F$241,"L2")</f>
        <v>14</v>
      </c>
      <c r="D23" s="10">
        <f>COUNTIFS('Assessment Sheet'!$D$2:$D$241,$A23,'Assessment Sheet'!$F$2:$F$241,"L3")</f>
        <v>2</v>
      </c>
      <c r="E23" s="10">
        <f>SUM(B23:D23)</f>
        <v>20</v>
      </c>
      <c r="F23" s="10">
        <f>COUNTIFS('Assessment Sheet'!$D$2:$D$241,$A23,'Assessment Sheet'!$O$2:$O$241,"&lt;="&amp;VALUE(RIGHT($B$10,1)))</f>
        <v>18</v>
      </c>
      <c r="G23" s="10">
        <f>COUNTIFS('Assessment Sheet'!$D$2:$D$241,$A23,'Assessment Sheet'!$O$2:$O$241,"&lt;="&amp;VALUE(RIGHT($B$10,1)),'Assessment Sheet'!$K$2:$K$241,"Met")</f>
        <v>0</v>
      </c>
      <c r="H23" s="10">
        <f>COUNTIFS('Assessment Sheet'!$D$2:$D$241,$A23,'Assessment Sheet'!$O$2:$O$241,"&lt;="&amp;VALUE(RIGHT($B$10,1)),'Assessment Sheet'!$K$2:$K$241,"Partially Met")</f>
        <v>0</v>
      </c>
      <c r="I23" s="10">
        <f>COUNTIFS('Assessment Sheet'!$D$2:$D$241,$A23,'Assessment Sheet'!$O$2:$O$241,"&lt;="&amp;VALUE(RIGHT($B$10,1)),'Assessment Sheet'!$K$2:$K$241,"Unmet")</f>
        <v>0</v>
      </c>
      <c r="J23" s="10">
        <f>COUNTIFS('Assessment Sheet'!$D$2:$D$241,$A23,'Assessment Sheet'!$O$2:$O$241,"&lt;="&amp;VALUE(RIGHT($B$10,1)),'Assessment Sheet'!$K$2:$K$241,"Not applicable")</f>
        <v>0</v>
      </c>
      <c r="K23" s="10">
        <f>F23-SUM(G23:J23)</f>
        <v>18</v>
      </c>
      <c r="L23" s="11">
        <f>IF(F23-J23=0,"—",G23/(F23-J23))</f>
        <v>0</v>
      </c>
      <c r="M23" s="10" t="str">
        <f>IF(COUNTIFS('Assessment Sheet'!$D$2:$D$241,$A23,'Assessment Sheet'!$O$2:$O$241,"&lt;=1",'Assessment Sheet'!$K$2:$K$241,"&lt;&gt;Met",'Assessment Sheet'!$K$2:$K$241,"&lt;&gt;Not applicable")&gt;0,"Below L1",IF(COUNTIFS('Assessment Sheet'!$D$2:$D$241,$A23,'Assessment Sheet'!$O$2:$O$241,"&lt;=2",'Assessment Sheet'!$K$2:$K$241,"&lt;&gt;Met",'Assessment Sheet'!$K$2:$K$241,"&lt;&gt;Not applicable")&gt;0,"L1",IF(COUNTIFS('Assessment Sheet'!$D$2:$D$241,$A23,'Assessment Sheet'!$O$2:$O$241,"&lt;=3",'Assessment Sheet'!$K$2:$K$241,"&lt;&gt;Met",'Assessment Sheet'!$K$2:$K$241,"&lt;&gt;Not applicable")&gt;0,"L2","L3")))</f>
        <v>Below L1</v>
      </c>
    </row>
    <row r="24" spans="1:13" x14ac:dyDescent="0.25">
      <c r="A24" s="16" t="s">
        <v>623</v>
      </c>
      <c r="B24" s="17">
        <f>SUM(B14:B23)</f>
        <v>90</v>
      </c>
      <c r="C24" s="17">
        <f>SUM(C14:C23)</f>
        <v>137</v>
      </c>
      <c r="D24" s="17">
        <f>SUM(D14:D23)</f>
        <v>13</v>
      </c>
      <c r="E24" s="17">
        <f>SUM(E14:E23)</f>
        <v>240</v>
      </c>
      <c r="F24" s="17">
        <f>SUM(F14:F23)</f>
        <v>227</v>
      </c>
      <c r="G24" s="17">
        <f>SUM(G14:G23)</f>
        <v>0</v>
      </c>
      <c r="H24" s="17">
        <f>SUM(H14:H23)</f>
        <v>0</v>
      </c>
      <c r="I24" s="17">
        <f>SUM(I14:I23)</f>
        <v>0</v>
      </c>
      <c r="J24" s="17">
        <f>SUM(J14:J23)</f>
        <v>0</v>
      </c>
      <c r="K24" s="17">
        <f>SUM(K14:K23)</f>
        <v>227</v>
      </c>
      <c r="L24" s="18">
        <f>IF(F24-J24=0,"—",G24/(F24-J24))</f>
        <v>0</v>
      </c>
      <c r="M24" s="17" t="str">
        <f>IF(COUNTIFS('Assessment Sheet'!$O$2:$O$241,"&lt;=1",'Assessment Sheet'!$K$2:$K$241,"&lt;&gt;Met",'Assessment Sheet'!$K$2:$K$241,"&lt;&gt;Not applicable")&gt;0,"Below L1",IF(COUNTIFS('Assessment Sheet'!$O$2:$O$241,"&lt;=2",'Assessment Sheet'!$K$2:$K$241,"&lt;&gt;Met",'Assessment Sheet'!$K$2:$K$241,"&lt;&gt;Not applicable")&gt;0,"L1",IF(COUNTIFS('Assessment Sheet'!$O$2:$O$241,"&lt;=3",'Assessment Sheet'!$K$2:$K$241,"&lt;&gt;Met",'Assessment Sheet'!$K$2:$K$241,"&lt;&gt;Not applicable")&gt;0,"L2","L3")))</f>
        <v>Below L1</v>
      </c>
    </row>
    <row r="27" spans="1:1" x14ac:dyDescent="0.25">
      <c r="A27" s="14" t="s">
        <v>626</v>
      </c>
    </row>
    <row r="28" ht="30" customHeight="1" spans="1:13" x14ac:dyDescent="0.25">
      <c r="A28" s="1" t="s">
        <v>1</v>
      </c>
      <c r="B28" s="1" t="s">
        <v>6</v>
      </c>
      <c r="C28" s="1" t="s">
        <v>621</v>
      </c>
      <c r="D28" s="1" t="s">
        <v>622</v>
      </c>
      <c r="E28" s="1" t="s">
        <v>623</v>
      </c>
      <c r="F28" s="15" t="s">
        <v>624</v>
      </c>
      <c r="G28" s="15" t="s">
        <v>608</v>
      </c>
      <c r="H28" s="15" t="s">
        <v>609</v>
      </c>
      <c r="I28" s="15" t="s">
        <v>610</v>
      </c>
      <c r="J28" s="15" t="s">
        <v>611</v>
      </c>
      <c r="K28" s="15" t="s">
        <v>22</v>
      </c>
      <c r="L28" s="15" t="s">
        <v>612</v>
      </c>
      <c r="M28" s="15" t="s">
        <v>625</v>
      </c>
    </row>
    <row r="29" spans="1:13" x14ac:dyDescent="0.25">
      <c r="A29" s="9" t="s">
        <v>16</v>
      </c>
      <c r="B29" s="10">
        <f>COUNTIFS('Assessment Sheet'!$B$2:$B$241,$A29,'Assessment Sheet'!$F$2:$F$241,"L1")</f>
        <v>11</v>
      </c>
      <c r="C29" s="10">
        <f>COUNTIFS('Assessment Sheet'!$B$2:$B$241,$A29,'Assessment Sheet'!$F$2:$F$241,"L2")</f>
        <v>11</v>
      </c>
      <c r="D29" s="10">
        <f>COUNTIFS('Assessment Sheet'!$B$2:$B$241,$A29,'Assessment Sheet'!$F$2:$F$241,"L3")</f>
        <v>1</v>
      </c>
      <c r="E29" s="10">
        <f>SUM(B29:D29)</f>
        <v>23</v>
      </c>
      <c r="F29" s="10">
        <f>COUNTIFS('Assessment Sheet'!$B$2:$B$241,$A29,'Assessment Sheet'!$O$2:$O$241,"&lt;="&amp;VALUE(RIGHT($B$10,1)))</f>
        <v>22</v>
      </c>
      <c r="G29" s="10">
        <f>COUNTIFS('Assessment Sheet'!$B$2:$B$241,$A29,'Assessment Sheet'!$O$2:$O$241,"&lt;="&amp;VALUE(RIGHT($B$10,1)),'Assessment Sheet'!$K$2:$K$241,"Met")</f>
        <v>0</v>
      </c>
      <c r="H29" s="10">
        <f>COUNTIFS('Assessment Sheet'!$B$2:$B$241,$A29,'Assessment Sheet'!$O$2:$O$241,"&lt;="&amp;VALUE(RIGHT($B$10,1)),'Assessment Sheet'!$K$2:$K$241,"Partially Met")</f>
        <v>0</v>
      </c>
      <c r="I29" s="10">
        <f>COUNTIFS('Assessment Sheet'!$B$2:$B$241,$A29,'Assessment Sheet'!$O$2:$O$241,"&lt;="&amp;VALUE(RIGHT($B$10,1)),'Assessment Sheet'!$K$2:$K$241,"Unmet")</f>
        <v>0</v>
      </c>
      <c r="J29" s="10">
        <f>COUNTIFS('Assessment Sheet'!$B$2:$B$241,$A29,'Assessment Sheet'!$O$2:$O$241,"&lt;="&amp;VALUE(RIGHT($B$10,1)),'Assessment Sheet'!$K$2:$K$241,"Not applicable")</f>
        <v>0</v>
      </c>
      <c r="K29" s="10">
        <f>F29-SUM(G29:J29)</f>
        <v>22</v>
      </c>
      <c r="L29" s="11">
        <f>IF(F29-J29=0,"—",G29/(F29-J29))</f>
        <v>0</v>
      </c>
      <c r="M29" s="10" t="str">
        <f>IF(COUNTIFS('Assessment Sheet'!$B$2:$B$241,$A29,'Assessment Sheet'!$O$2:$O$241,"&lt;=1",'Assessment Sheet'!$K$2:$K$241,"&lt;&gt;Met",'Assessment Sheet'!$K$2:$K$241,"&lt;&gt;Not applicable")&gt;0,"Below L1",IF(COUNTIFS('Assessment Sheet'!$B$2:$B$241,$A29,'Assessment Sheet'!$O$2:$O$241,"&lt;=2",'Assessment Sheet'!$K$2:$K$241,"&lt;&gt;Met",'Assessment Sheet'!$K$2:$K$241,"&lt;&gt;Not applicable")&gt;0,"L1",IF(COUNTIFS('Assessment Sheet'!$B$2:$B$241,$A29,'Assessment Sheet'!$O$2:$O$241,"&lt;=3",'Assessment Sheet'!$K$2:$K$241,"&lt;&gt;Met",'Assessment Sheet'!$K$2:$K$241,"&lt;&gt;Not applicable")&gt;0,"L2","L3")))</f>
        <v>Below L1</v>
      </c>
    </row>
    <row r="30" spans="1:13" x14ac:dyDescent="0.25">
      <c r="A30" s="9" t="s">
        <v>82</v>
      </c>
      <c r="B30" s="10">
        <f>COUNTIFS('Assessment Sheet'!$B$2:$B$241,$A30,'Assessment Sheet'!$F$2:$F$241,"L1")</f>
        <v>11</v>
      </c>
      <c r="C30" s="10">
        <f>COUNTIFS('Assessment Sheet'!$B$2:$B$241,$A30,'Assessment Sheet'!$F$2:$F$241,"L2")</f>
        <v>14</v>
      </c>
      <c r="D30" s="10">
        <f>COUNTIFS('Assessment Sheet'!$B$2:$B$241,$A30,'Assessment Sheet'!$F$2:$F$241,"L3")</f>
        <v>3</v>
      </c>
      <c r="E30" s="10">
        <f>SUM(B30:D30)</f>
        <v>28</v>
      </c>
      <c r="F30" s="10">
        <f>COUNTIFS('Assessment Sheet'!$B$2:$B$241,$A30,'Assessment Sheet'!$O$2:$O$241,"&lt;="&amp;VALUE(RIGHT($B$10,1)))</f>
        <v>25</v>
      </c>
      <c r="G30" s="10">
        <f>COUNTIFS('Assessment Sheet'!$B$2:$B$241,$A30,'Assessment Sheet'!$O$2:$O$241,"&lt;="&amp;VALUE(RIGHT($B$10,1)),'Assessment Sheet'!$K$2:$K$241,"Met")</f>
        <v>0</v>
      </c>
      <c r="H30" s="10">
        <f>COUNTIFS('Assessment Sheet'!$B$2:$B$241,$A30,'Assessment Sheet'!$O$2:$O$241,"&lt;="&amp;VALUE(RIGHT($B$10,1)),'Assessment Sheet'!$K$2:$K$241,"Partially Met")</f>
        <v>0</v>
      </c>
      <c r="I30" s="10">
        <f>COUNTIFS('Assessment Sheet'!$B$2:$B$241,$A30,'Assessment Sheet'!$O$2:$O$241,"&lt;="&amp;VALUE(RIGHT($B$10,1)),'Assessment Sheet'!$K$2:$K$241,"Unmet")</f>
        <v>0</v>
      </c>
      <c r="J30" s="10">
        <f>COUNTIFS('Assessment Sheet'!$B$2:$B$241,$A30,'Assessment Sheet'!$O$2:$O$241,"&lt;="&amp;VALUE(RIGHT($B$10,1)),'Assessment Sheet'!$K$2:$K$241,"Not applicable")</f>
        <v>0</v>
      </c>
      <c r="K30" s="10">
        <f>F30-SUM(G30:J30)</f>
        <v>25</v>
      </c>
      <c r="L30" s="11">
        <f>IF(F30-J30=0,"—",G30/(F30-J30))</f>
        <v>0</v>
      </c>
      <c r="M30" s="10" t="str">
        <f>IF(COUNTIFS('Assessment Sheet'!$B$2:$B$241,$A30,'Assessment Sheet'!$O$2:$O$241,"&lt;=1",'Assessment Sheet'!$K$2:$K$241,"&lt;&gt;Met",'Assessment Sheet'!$K$2:$K$241,"&lt;&gt;Not applicable")&gt;0,"Below L1",IF(COUNTIFS('Assessment Sheet'!$B$2:$B$241,$A30,'Assessment Sheet'!$O$2:$O$241,"&lt;=2",'Assessment Sheet'!$K$2:$K$241,"&lt;&gt;Met",'Assessment Sheet'!$K$2:$K$241,"&lt;&gt;Not applicable")&gt;0,"L1",IF(COUNTIFS('Assessment Sheet'!$B$2:$B$241,$A30,'Assessment Sheet'!$O$2:$O$241,"&lt;=3",'Assessment Sheet'!$K$2:$K$241,"&lt;&gt;Met",'Assessment Sheet'!$K$2:$K$241,"&lt;&gt;Not applicable")&gt;0,"L2","L3")))</f>
        <v>Below L1</v>
      </c>
    </row>
    <row r="31" spans="1:13" x14ac:dyDescent="0.25">
      <c r="A31" s="9" t="s">
        <v>150</v>
      </c>
      <c r="B31" s="10">
        <f>COUNTIFS('Assessment Sheet'!$B$2:$B$241,$A31,'Assessment Sheet'!$F$2:$F$241,"L1")</f>
        <v>9</v>
      </c>
      <c r="C31" s="10">
        <f>COUNTIFS('Assessment Sheet'!$B$2:$B$241,$A31,'Assessment Sheet'!$F$2:$F$241,"L2")</f>
        <v>16</v>
      </c>
      <c r="D31" s="10">
        <f>COUNTIFS('Assessment Sheet'!$B$2:$B$241,$A31,'Assessment Sheet'!$F$2:$F$241,"L3")</f>
        <v>2</v>
      </c>
      <c r="E31" s="10">
        <f>SUM(B31:D31)</f>
        <v>27</v>
      </c>
      <c r="F31" s="10">
        <f>COUNTIFS('Assessment Sheet'!$B$2:$B$241,$A31,'Assessment Sheet'!$O$2:$O$241,"&lt;="&amp;VALUE(RIGHT($B$10,1)))</f>
        <v>25</v>
      </c>
      <c r="G31" s="10">
        <f>COUNTIFS('Assessment Sheet'!$B$2:$B$241,$A31,'Assessment Sheet'!$O$2:$O$241,"&lt;="&amp;VALUE(RIGHT($B$10,1)),'Assessment Sheet'!$K$2:$K$241,"Met")</f>
        <v>0</v>
      </c>
      <c r="H31" s="10">
        <f>COUNTIFS('Assessment Sheet'!$B$2:$B$241,$A31,'Assessment Sheet'!$O$2:$O$241,"&lt;="&amp;VALUE(RIGHT($B$10,1)),'Assessment Sheet'!$K$2:$K$241,"Partially Met")</f>
        <v>0</v>
      </c>
      <c r="I31" s="10">
        <f>COUNTIFS('Assessment Sheet'!$B$2:$B$241,$A31,'Assessment Sheet'!$O$2:$O$241,"&lt;="&amp;VALUE(RIGHT($B$10,1)),'Assessment Sheet'!$K$2:$K$241,"Unmet")</f>
        <v>0</v>
      </c>
      <c r="J31" s="10">
        <f>COUNTIFS('Assessment Sheet'!$B$2:$B$241,$A31,'Assessment Sheet'!$O$2:$O$241,"&lt;="&amp;VALUE(RIGHT($B$10,1)),'Assessment Sheet'!$K$2:$K$241,"Not applicable")</f>
        <v>0</v>
      </c>
      <c r="K31" s="10">
        <f>F31-SUM(G31:J31)</f>
        <v>25</v>
      </c>
      <c r="L31" s="11">
        <f>IF(F31-J31=0,"—",G31/(F31-J31))</f>
        <v>0</v>
      </c>
      <c r="M31" s="10" t="str">
        <f>IF(COUNTIFS('Assessment Sheet'!$B$2:$B$241,$A31,'Assessment Sheet'!$O$2:$O$241,"&lt;=1",'Assessment Sheet'!$K$2:$K$241,"&lt;&gt;Met",'Assessment Sheet'!$K$2:$K$241,"&lt;&gt;Not applicable")&gt;0,"Below L1",IF(COUNTIFS('Assessment Sheet'!$B$2:$B$241,$A31,'Assessment Sheet'!$O$2:$O$241,"&lt;=2",'Assessment Sheet'!$K$2:$K$241,"&lt;&gt;Met",'Assessment Sheet'!$K$2:$K$241,"&lt;&gt;Not applicable")&gt;0,"L1",IF(COUNTIFS('Assessment Sheet'!$B$2:$B$241,$A31,'Assessment Sheet'!$O$2:$O$241,"&lt;=3",'Assessment Sheet'!$K$2:$K$241,"&lt;&gt;Met",'Assessment Sheet'!$K$2:$K$241,"&lt;&gt;Not applicable")&gt;0,"L2","L3")))</f>
        <v>Below L1</v>
      </c>
    </row>
    <row r="32" spans="1:13" x14ac:dyDescent="0.25">
      <c r="A32" s="9" t="s">
        <v>213</v>
      </c>
      <c r="B32" s="10">
        <f>COUNTIFS('Assessment Sheet'!$B$2:$B$241,$A32,'Assessment Sheet'!$F$2:$F$241,"L1")</f>
        <v>14</v>
      </c>
      <c r="C32" s="10">
        <f>COUNTIFS('Assessment Sheet'!$B$2:$B$241,$A32,'Assessment Sheet'!$F$2:$F$241,"L2")</f>
        <v>18</v>
      </c>
      <c r="D32" s="10">
        <f>COUNTIFS('Assessment Sheet'!$B$2:$B$241,$A32,'Assessment Sheet'!$F$2:$F$241,"L3")</f>
        <v>1</v>
      </c>
      <c r="E32" s="10">
        <f>SUM(B32:D32)</f>
        <v>33</v>
      </c>
      <c r="F32" s="10">
        <f>COUNTIFS('Assessment Sheet'!$B$2:$B$241,$A32,'Assessment Sheet'!$O$2:$O$241,"&lt;="&amp;VALUE(RIGHT($B$10,1)))</f>
        <v>32</v>
      </c>
      <c r="G32" s="10">
        <f>COUNTIFS('Assessment Sheet'!$B$2:$B$241,$A32,'Assessment Sheet'!$O$2:$O$241,"&lt;="&amp;VALUE(RIGHT($B$10,1)),'Assessment Sheet'!$K$2:$K$241,"Met")</f>
        <v>0</v>
      </c>
      <c r="H32" s="10">
        <f>COUNTIFS('Assessment Sheet'!$B$2:$B$241,$A32,'Assessment Sheet'!$O$2:$O$241,"&lt;="&amp;VALUE(RIGHT($B$10,1)),'Assessment Sheet'!$K$2:$K$241,"Partially Met")</f>
        <v>0</v>
      </c>
      <c r="I32" s="10">
        <f>COUNTIFS('Assessment Sheet'!$B$2:$B$241,$A32,'Assessment Sheet'!$O$2:$O$241,"&lt;="&amp;VALUE(RIGHT($B$10,1)),'Assessment Sheet'!$K$2:$K$241,"Unmet")</f>
        <v>0</v>
      </c>
      <c r="J32" s="10">
        <f>COUNTIFS('Assessment Sheet'!$B$2:$B$241,$A32,'Assessment Sheet'!$O$2:$O$241,"&lt;="&amp;VALUE(RIGHT($B$10,1)),'Assessment Sheet'!$K$2:$K$241,"Not applicable")</f>
        <v>0</v>
      </c>
      <c r="K32" s="10">
        <f>F32-SUM(G32:J32)</f>
        <v>32</v>
      </c>
      <c r="L32" s="11">
        <f>IF(F32-J32=0,"—",G32/(F32-J32))</f>
        <v>0</v>
      </c>
      <c r="M32" s="10" t="str">
        <f>IF(COUNTIFS('Assessment Sheet'!$B$2:$B$241,$A32,'Assessment Sheet'!$O$2:$O$241,"&lt;=1",'Assessment Sheet'!$K$2:$K$241,"&lt;&gt;Met",'Assessment Sheet'!$K$2:$K$241,"&lt;&gt;Not applicable")&gt;0,"Below L1",IF(COUNTIFS('Assessment Sheet'!$B$2:$B$241,$A32,'Assessment Sheet'!$O$2:$O$241,"&lt;=2",'Assessment Sheet'!$K$2:$K$241,"&lt;&gt;Met",'Assessment Sheet'!$K$2:$K$241,"&lt;&gt;Not applicable")&gt;0,"L1",IF(COUNTIFS('Assessment Sheet'!$B$2:$B$241,$A32,'Assessment Sheet'!$O$2:$O$241,"&lt;=3",'Assessment Sheet'!$K$2:$K$241,"&lt;&gt;Met",'Assessment Sheet'!$K$2:$K$241,"&lt;&gt;Not applicable")&gt;0,"L2","L3")))</f>
        <v>Below L1</v>
      </c>
    </row>
    <row r="33" spans="1:13" x14ac:dyDescent="0.25">
      <c r="A33" s="9" t="s">
        <v>290</v>
      </c>
      <c r="B33" s="10">
        <f>COUNTIFS('Assessment Sheet'!$B$2:$B$241,$A33,'Assessment Sheet'!$F$2:$F$241,"L1")</f>
        <v>16</v>
      </c>
      <c r="C33" s="10">
        <f>COUNTIFS('Assessment Sheet'!$B$2:$B$241,$A33,'Assessment Sheet'!$F$2:$F$241,"L2")</f>
        <v>11</v>
      </c>
      <c r="D33" s="10">
        <f>COUNTIFS('Assessment Sheet'!$B$2:$B$241,$A33,'Assessment Sheet'!$F$2:$F$241,"L3")</f>
        <v>0</v>
      </c>
      <c r="E33" s="10">
        <f>SUM(B33:D33)</f>
        <v>27</v>
      </c>
      <c r="F33" s="10">
        <f>COUNTIFS('Assessment Sheet'!$B$2:$B$241,$A33,'Assessment Sheet'!$O$2:$O$241,"&lt;="&amp;VALUE(RIGHT($B$10,1)))</f>
        <v>27</v>
      </c>
      <c r="G33" s="10">
        <f>COUNTIFS('Assessment Sheet'!$B$2:$B$241,$A33,'Assessment Sheet'!$O$2:$O$241,"&lt;="&amp;VALUE(RIGHT($B$10,1)),'Assessment Sheet'!$K$2:$K$241,"Met")</f>
        <v>0</v>
      </c>
      <c r="H33" s="10">
        <f>COUNTIFS('Assessment Sheet'!$B$2:$B$241,$A33,'Assessment Sheet'!$O$2:$O$241,"&lt;="&amp;VALUE(RIGHT($B$10,1)),'Assessment Sheet'!$K$2:$K$241,"Partially Met")</f>
        <v>0</v>
      </c>
      <c r="I33" s="10">
        <f>COUNTIFS('Assessment Sheet'!$B$2:$B$241,$A33,'Assessment Sheet'!$O$2:$O$241,"&lt;="&amp;VALUE(RIGHT($B$10,1)),'Assessment Sheet'!$K$2:$K$241,"Unmet")</f>
        <v>0</v>
      </c>
      <c r="J33" s="10">
        <f>COUNTIFS('Assessment Sheet'!$B$2:$B$241,$A33,'Assessment Sheet'!$O$2:$O$241,"&lt;="&amp;VALUE(RIGHT($B$10,1)),'Assessment Sheet'!$K$2:$K$241,"Not applicable")</f>
        <v>0</v>
      </c>
      <c r="K33" s="10">
        <f>F33-SUM(G33:J33)</f>
        <v>27</v>
      </c>
      <c r="L33" s="11">
        <f>IF(F33-J33=0,"—",G33/(F33-J33))</f>
        <v>0</v>
      </c>
      <c r="M33" s="10" t="str">
        <f>IF(COUNTIFS('Assessment Sheet'!$B$2:$B$241,$A33,'Assessment Sheet'!$O$2:$O$241,"&lt;=1",'Assessment Sheet'!$K$2:$K$241,"&lt;&gt;Met",'Assessment Sheet'!$K$2:$K$241,"&lt;&gt;Not applicable")&gt;0,"Below L1",IF(COUNTIFS('Assessment Sheet'!$B$2:$B$241,$A33,'Assessment Sheet'!$O$2:$O$241,"&lt;=2",'Assessment Sheet'!$K$2:$K$241,"&lt;&gt;Met",'Assessment Sheet'!$K$2:$K$241,"&lt;&gt;Not applicable")&gt;0,"L1",IF(COUNTIFS('Assessment Sheet'!$B$2:$B$241,$A33,'Assessment Sheet'!$O$2:$O$241,"&lt;=3",'Assessment Sheet'!$K$2:$K$241,"&lt;&gt;Met",'Assessment Sheet'!$K$2:$K$241,"&lt;&gt;Not applicable")&gt;0,"L2","L3")))</f>
        <v>Below L1</v>
      </c>
    </row>
    <row r="34" spans="1:13" x14ac:dyDescent="0.25">
      <c r="A34" s="9" t="s">
        <v>356</v>
      </c>
      <c r="B34" s="10">
        <f>COUNTIFS('Assessment Sheet'!$B$2:$B$241,$A34,'Assessment Sheet'!$F$2:$F$241,"L1")</f>
        <v>4</v>
      </c>
      <c r="C34" s="10">
        <f>COUNTIFS('Assessment Sheet'!$B$2:$B$241,$A34,'Assessment Sheet'!$F$2:$F$241,"L2")</f>
        <v>8</v>
      </c>
      <c r="D34" s="10">
        <f>COUNTIFS('Assessment Sheet'!$B$2:$B$241,$A34,'Assessment Sheet'!$F$2:$F$241,"L3")</f>
        <v>1</v>
      </c>
      <c r="E34" s="10">
        <f>SUM(B34:D34)</f>
        <v>13</v>
      </c>
      <c r="F34" s="10">
        <f>COUNTIFS('Assessment Sheet'!$B$2:$B$241,$A34,'Assessment Sheet'!$O$2:$O$241,"&lt;="&amp;VALUE(RIGHT($B$10,1)))</f>
        <v>12</v>
      </c>
      <c r="G34" s="10">
        <f>COUNTIFS('Assessment Sheet'!$B$2:$B$241,$A34,'Assessment Sheet'!$O$2:$O$241,"&lt;="&amp;VALUE(RIGHT($B$10,1)),'Assessment Sheet'!$K$2:$K$241,"Met")</f>
        <v>0</v>
      </c>
      <c r="H34" s="10">
        <f>COUNTIFS('Assessment Sheet'!$B$2:$B$241,$A34,'Assessment Sheet'!$O$2:$O$241,"&lt;="&amp;VALUE(RIGHT($B$10,1)),'Assessment Sheet'!$K$2:$K$241,"Partially Met")</f>
        <v>0</v>
      </c>
      <c r="I34" s="10">
        <f>COUNTIFS('Assessment Sheet'!$B$2:$B$241,$A34,'Assessment Sheet'!$O$2:$O$241,"&lt;="&amp;VALUE(RIGHT($B$10,1)),'Assessment Sheet'!$K$2:$K$241,"Unmet")</f>
        <v>0</v>
      </c>
      <c r="J34" s="10">
        <f>COUNTIFS('Assessment Sheet'!$B$2:$B$241,$A34,'Assessment Sheet'!$O$2:$O$241,"&lt;="&amp;VALUE(RIGHT($B$10,1)),'Assessment Sheet'!$K$2:$K$241,"Not applicable")</f>
        <v>0</v>
      </c>
      <c r="K34" s="10">
        <f>F34-SUM(G34:J34)</f>
        <v>12</v>
      </c>
      <c r="L34" s="11">
        <f>IF(F34-J34=0,"—",G34/(F34-J34))</f>
        <v>0</v>
      </c>
      <c r="M34" s="10" t="str">
        <f>IF(COUNTIFS('Assessment Sheet'!$B$2:$B$241,$A34,'Assessment Sheet'!$O$2:$O$241,"&lt;=1",'Assessment Sheet'!$K$2:$K$241,"&lt;&gt;Met",'Assessment Sheet'!$K$2:$K$241,"&lt;&gt;Not applicable")&gt;0,"Below L1",IF(COUNTIFS('Assessment Sheet'!$B$2:$B$241,$A34,'Assessment Sheet'!$O$2:$O$241,"&lt;=2",'Assessment Sheet'!$K$2:$K$241,"&lt;&gt;Met",'Assessment Sheet'!$K$2:$K$241,"&lt;&gt;Not applicable")&gt;0,"L1",IF(COUNTIFS('Assessment Sheet'!$B$2:$B$241,$A34,'Assessment Sheet'!$O$2:$O$241,"&lt;=3",'Assessment Sheet'!$K$2:$K$241,"&lt;&gt;Met",'Assessment Sheet'!$K$2:$K$241,"&lt;&gt;Not applicable")&gt;0,"L2","L3")))</f>
        <v>Below L1</v>
      </c>
    </row>
    <row r="35" spans="1:13" x14ac:dyDescent="0.25">
      <c r="A35" s="9" t="s">
        <v>388</v>
      </c>
      <c r="B35" s="10">
        <f>COUNTIFS('Assessment Sheet'!$B$2:$B$241,$A35,'Assessment Sheet'!$F$2:$F$241,"L1")</f>
        <v>6</v>
      </c>
      <c r="C35" s="10">
        <f>COUNTIFS('Assessment Sheet'!$B$2:$B$241,$A35,'Assessment Sheet'!$F$2:$F$241,"L2")</f>
        <v>12</v>
      </c>
      <c r="D35" s="10">
        <f>COUNTIFS('Assessment Sheet'!$B$2:$B$241,$A35,'Assessment Sheet'!$F$2:$F$241,"L3")</f>
        <v>0</v>
      </c>
      <c r="E35" s="10">
        <f>SUM(B35:D35)</f>
        <v>18</v>
      </c>
      <c r="F35" s="10">
        <f>COUNTIFS('Assessment Sheet'!$B$2:$B$241,$A35,'Assessment Sheet'!$O$2:$O$241,"&lt;="&amp;VALUE(RIGHT($B$10,1)))</f>
        <v>18</v>
      </c>
      <c r="G35" s="10">
        <f>COUNTIFS('Assessment Sheet'!$B$2:$B$241,$A35,'Assessment Sheet'!$O$2:$O$241,"&lt;="&amp;VALUE(RIGHT($B$10,1)),'Assessment Sheet'!$K$2:$K$241,"Met")</f>
        <v>0</v>
      </c>
      <c r="H35" s="10">
        <f>COUNTIFS('Assessment Sheet'!$B$2:$B$241,$A35,'Assessment Sheet'!$O$2:$O$241,"&lt;="&amp;VALUE(RIGHT($B$10,1)),'Assessment Sheet'!$K$2:$K$241,"Partially Met")</f>
        <v>0</v>
      </c>
      <c r="I35" s="10">
        <f>COUNTIFS('Assessment Sheet'!$B$2:$B$241,$A35,'Assessment Sheet'!$O$2:$O$241,"&lt;="&amp;VALUE(RIGHT($B$10,1)),'Assessment Sheet'!$K$2:$K$241,"Unmet")</f>
        <v>0</v>
      </c>
      <c r="J35" s="10">
        <f>COUNTIFS('Assessment Sheet'!$B$2:$B$241,$A35,'Assessment Sheet'!$O$2:$O$241,"&lt;="&amp;VALUE(RIGHT($B$10,1)),'Assessment Sheet'!$K$2:$K$241,"Not applicable")</f>
        <v>0</v>
      </c>
      <c r="K35" s="10">
        <f>F35-SUM(G35:J35)</f>
        <v>18</v>
      </c>
      <c r="L35" s="11">
        <f>IF(F35-J35=0,"—",G35/(F35-J35))</f>
        <v>0</v>
      </c>
      <c r="M35" s="10" t="str">
        <f>IF(COUNTIFS('Assessment Sheet'!$B$2:$B$241,$A35,'Assessment Sheet'!$O$2:$O$241,"&lt;=1",'Assessment Sheet'!$K$2:$K$241,"&lt;&gt;Met",'Assessment Sheet'!$K$2:$K$241,"&lt;&gt;Not applicable")&gt;0,"Below L1",IF(COUNTIFS('Assessment Sheet'!$B$2:$B$241,$A35,'Assessment Sheet'!$O$2:$O$241,"&lt;=2",'Assessment Sheet'!$K$2:$K$241,"&lt;&gt;Met",'Assessment Sheet'!$K$2:$K$241,"&lt;&gt;Not applicable")&gt;0,"L1",IF(COUNTIFS('Assessment Sheet'!$B$2:$B$241,$A35,'Assessment Sheet'!$O$2:$O$241,"&lt;=3",'Assessment Sheet'!$K$2:$K$241,"&lt;&gt;Met",'Assessment Sheet'!$K$2:$K$241,"&lt;&gt;Not applicable")&gt;0,"L2","L3")))</f>
        <v>Below L1</v>
      </c>
    </row>
    <row r="36" spans="1:13" x14ac:dyDescent="0.25">
      <c r="A36" s="9" t="s">
        <v>436</v>
      </c>
      <c r="B36" s="10">
        <f>COUNTIFS('Assessment Sheet'!$B$2:$B$241,$A36,'Assessment Sheet'!$F$2:$F$241,"L1")</f>
        <v>5</v>
      </c>
      <c r="C36" s="10">
        <f>COUNTIFS('Assessment Sheet'!$B$2:$B$241,$A36,'Assessment Sheet'!$F$2:$F$241,"L2")</f>
        <v>16</v>
      </c>
      <c r="D36" s="10">
        <f>COUNTIFS('Assessment Sheet'!$B$2:$B$241,$A36,'Assessment Sheet'!$F$2:$F$241,"L3")</f>
        <v>1</v>
      </c>
      <c r="E36" s="10">
        <f>SUM(B36:D36)</f>
        <v>22</v>
      </c>
      <c r="F36" s="10">
        <f>COUNTIFS('Assessment Sheet'!$B$2:$B$241,$A36,'Assessment Sheet'!$O$2:$O$241,"&lt;="&amp;VALUE(RIGHT($B$10,1)))</f>
        <v>21</v>
      </c>
      <c r="G36" s="10">
        <f>COUNTIFS('Assessment Sheet'!$B$2:$B$241,$A36,'Assessment Sheet'!$O$2:$O$241,"&lt;="&amp;VALUE(RIGHT($B$10,1)),'Assessment Sheet'!$K$2:$K$241,"Met")</f>
        <v>0</v>
      </c>
      <c r="H36" s="10">
        <f>COUNTIFS('Assessment Sheet'!$B$2:$B$241,$A36,'Assessment Sheet'!$O$2:$O$241,"&lt;="&amp;VALUE(RIGHT($B$10,1)),'Assessment Sheet'!$K$2:$K$241,"Partially Met")</f>
        <v>0</v>
      </c>
      <c r="I36" s="10">
        <f>COUNTIFS('Assessment Sheet'!$B$2:$B$241,$A36,'Assessment Sheet'!$O$2:$O$241,"&lt;="&amp;VALUE(RIGHT($B$10,1)),'Assessment Sheet'!$K$2:$K$241,"Unmet")</f>
        <v>0</v>
      </c>
      <c r="J36" s="10">
        <f>COUNTIFS('Assessment Sheet'!$B$2:$B$241,$A36,'Assessment Sheet'!$O$2:$O$241,"&lt;="&amp;VALUE(RIGHT($B$10,1)),'Assessment Sheet'!$K$2:$K$241,"Not applicable")</f>
        <v>0</v>
      </c>
      <c r="K36" s="10">
        <f>F36-SUM(G36:J36)</f>
        <v>21</v>
      </c>
      <c r="L36" s="11">
        <f>IF(F36-J36=0,"—",G36/(F36-J36))</f>
        <v>0</v>
      </c>
      <c r="M36" s="10" t="str">
        <f>IF(COUNTIFS('Assessment Sheet'!$B$2:$B$241,$A36,'Assessment Sheet'!$O$2:$O$241,"&lt;=1",'Assessment Sheet'!$K$2:$K$241,"&lt;&gt;Met",'Assessment Sheet'!$K$2:$K$241,"&lt;&gt;Not applicable")&gt;0,"Below L1",IF(COUNTIFS('Assessment Sheet'!$B$2:$B$241,$A36,'Assessment Sheet'!$O$2:$O$241,"&lt;=2",'Assessment Sheet'!$K$2:$K$241,"&lt;&gt;Met",'Assessment Sheet'!$K$2:$K$241,"&lt;&gt;Not applicable")&gt;0,"L1",IF(COUNTIFS('Assessment Sheet'!$B$2:$B$241,$A36,'Assessment Sheet'!$O$2:$O$241,"&lt;=3",'Assessment Sheet'!$K$2:$K$241,"&lt;&gt;Met",'Assessment Sheet'!$K$2:$K$241,"&lt;&gt;Not applicable")&gt;0,"L2","L3")))</f>
        <v>Below L1</v>
      </c>
    </row>
    <row r="37" spans="1:13" x14ac:dyDescent="0.25">
      <c r="A37" s="9" t="s">
        <v>492</v>
      </c>
      <c r="B37" s="10">
        <f>COUNTIFS('Assessment Sheet'!$B$2:$B$241,$A37,'Assessment Sheet'!$F$2:$F$241,"L1")</f>
        <v>9</v>
      </c>
      <c r="C37" s="10">
        <f>COUNTIFS('Assessment Sheet'!$B$2:$B$241,$A37,'Assessment Sheet'!$F$2:$F$241,"L2")</f>
        <v>16</v>
      </c>
      <c r="D37" s="10">
        <f>COUNTIFS('Assessment Sheet'!$B$2:$B$241,$A37,'Assessment Sheet'!$F$2:$F$241,"L3")</f>
        <v>1</v>
      </c>
      <c r="E37" s="10">
        <f>SUM(B37:D37)</f>
        <v>26</v>
      </c>
      <c r="F37" s="10">
        <f>COUNTIFS('Assessment Sheet'!$B$2:$B$241,$A37,'Assessment Sheet'!$O$2:$O$241,"&lt;="&amp;VALUE(RIGHT($B$10,1)))</f>
        <v>25</v>
      </c>
      <c r="G37" s="10">
        <f>COUNTIFS('Assessment Sheet'!$B$2:$B$241,$A37,'Assessment Sheet'!$O$2:$O$241,"&lt;="&amp;VALUE(RIGHT($B$10,1)),'Assessment Sheet'!$K$2:$K$241,"Met")</f>
        <v>0</v>
      </c>
      <c r="H37" s="10">
        <f>COUNTIFS('Assessment Sheet'!$B$2:$B$241,$A37,'Assessment Sheet'!$O$2:$O$241,"&lt;="&amp;VALUE(RIGHT($B$10,1)),'Assessment Sheet'!$K$2:$K$241,"Partially Met")</f>
        <v>0</v>
      </c>
      <c r="I37" s="10">
        <f>COUNTIFS('Assessment Sheet'!$B$2:$B$241,$A37,'Assessment Sheet'!$O$2:$O$241,"&lt;="&amp;VALUE(RIGHT($B$10,1)),'Assessment Sheet'!$K$2:$K$241,"Unmet")</f>
        <v>0</v>
      </c>
      <c r="J37" s="10">
        <f>COUNTIFS('Assessment Sheet'!$B$2:$B$241,$A37,'Assessment Sheet'!$O$2:$O$241,"&lt;="&amp;VALUE(RIGHT($B$10,1)),'Assessment Sheet'!$K$2:$K$241,"Not applicable")</f>
        <v>0</v>
      </c>
      <c r="K37" s="10">
        <f>F37-SUM(G37:J37)</f>
        <v>25</v>
      </c>
      <c r="L37" s="11">
        <f>IF(F37-J37=0,"—",G37/(F37-J37))</f>
        <v>0</v>
      </c>
      <c r="M37" s="10" t="str">
        <f>IF(COUNTIFS('Assessment Sheet'!$B$2:$B$241,$A37,'Assessment Sheet'!$O$2:$O$241,"&lt;=1",'Assessment Sheet'!$K$2:$K$241,"&lt;&gt;Met",'Assessment Sheet'!$K$2:$K$241,"&lt;&gt;Not applicable")&gt;0,"Below L1",IF(COUNTIFS('Assessment Sheet'!$B$2:$B$241,$A37,'Assessment Sheet'!$O$2:$O$241,"&lt;=2",'Assessment Sheet'!$K$2:$K$241,"&lt;&gt;Met",'Assessment Sheet'!$K$2:$K$241,"&lt;&gt;Not applicable")&gt;0,"L1",IF(COUNTIFS('Assessment Sheet'!$B$2:$B$241,$A37,'Assessment Sheet'!$O$2:$O$241,"&lt;=3",'Assessment Sheet'!$K$2:$K$241,"&lt;&gt;Met",'Assessment Sheet'!$K$2:$K$241,"&lt;&gt;Not applicable")&gt;0,"L2","L3")))</f>
        <v>Below L1</v>
      </c>
    </row>
    <row r="38" spans="1:13" x14ac:dyDescent="0.25">
      <c r="A38" s="9" t="s">
        <v>552</v>
      </c>
      <c r="B38" s="10">
        <f>COUNTIFS('Assessment Sheet'!$B$2:$B$241,$A38,'Assessment Sheet'!$F$2:$F$241,"L1")</f>
        <v>5</v>
      </c>
      <c r="C38" s="10">
        <f>COUNTIFS('Assessment Sheet'!$B$2:$B$241,$A38,'Assessment Sheet'!$F$2:$F$241,"L2")</f>
        <v>15</v>
      </c>
      <c r="D38" s="10">
        <f>COUNTIFS('Assessment Sheet'!$B$2:$B$241,$A38,'Assessment Sheet'!$F$2:$F$241,"L3")</f>
        <v>3</v>
      </c>
      <c r="E38" s="10">
        <f>SUM(B38:D38)</f>
        <v>23</v>
      </c>
      <c r="F38" s="10">
        <f>COUNTIFS('Assessment Sheet'!$B$2:$B$241,$A38,'Assessment Sheet'!$O$2:$O$241,"&lt;="&amp;VALUE(RIGHT($B$10,1)))</f>
        <v>20</v>
      </c>
      <c r="G38" s="10">
        <f>COUNTIFS('Assessment Sheet'!$B$2:$B$241,$A38,'Assessment Sheet'!$O$2:$O$241,"&lt;="&amp;VALUE(RIGHT($B$10,1)),'Assessment Sheet'!$K$2:$K$241,"Met")</f>
        <v>0</v>
      </c>
      <c r="H38" s="10">
        <f>COUNTIFS('Assessment Sheet'!$B$2:$B$241,$A38,'Assessment Sheet'!$O$2:$O$241,"&lt;="&amp;VALUE(RIGHT($B$10,1)),'Assessment Sheet'!$K$2:$K$241,"Partially Met")</f>
        <v>0</v>
      </c>
      <c r="I38" s="10">
        <f>COUNTIFS('Assessment Sheet'!$B$2:$B$241,$A38,'Assessment Sheet'!$O$2:$O$241,"&lt;="&amp;VALUE(RIGHT($B$10,1)),'Assessment Sheet'!$K$2:$K$241,"Unmet")</f>
        <v>0</v>
      </c>
      <c r="J38" s="10">
        <f>COUNTIFS('Assessment Sheet'!$B$2:$B$241,$A38,'Assessment Sheet'!$O$2:$O$241,"&lt;="&amp;VALUE(RIGHT($B$10,1)),'Assessment Sheet'!$K$2:$K$241,"Not applicable")</f>
        <v>0</v>
      </c>
      <c r="K38" s="10">
        <f>F38-SUM(G38:J38)</f>
        <v>20</v>
      </c>
      <c r="L38" s="11">
        <f>IF(F38-J38=0,"—",G38/(F38-J38))</f>
        <v>0</v>
      </c>
      <c r="M38" s="10" t="str">
        <f>IF(COUNTIFS('Assessment Sheet'!$B$2:$B$241,$A38,'Assessment Sheet'!$O$2:$O$241,"&lt;=1",'Assessment Sheet'!$K$2:$K$241,"&lt;&gt;Met",'Assessment Sheet'!$K$2:$K$241,"&lt;&gt;Not applicable")&gt;0,"Below L1",IF(COUNTIFS('Assessment Sheet'!$B$2:$B$241,$A38,'Assessment Sheet'!$O$2:$O$241,"&lt;=2",'Assessment Sheet'!$K$2:$K$241,"&lt;&gt;Met",'Assessment Sheet'!$K$2:$K$241,"&lt;&gt;Not applicable")&gt;0,"L1",IF(COUNTIFS('Assessment Sheet'!$B$2:$B$241,$A38,'Assessment Sheet'!$O$2:$O$241,"&lt;=3",'Assessment Sheet'!$K$2:$K$241,"&lt;&gt;Met",'Assessment Sheet'!$K$2:$K$241,"&lt;&gt;Not applicable")&gt;0,"L2","L3")))</f>
        <v>Below L1</v>
      </c>
    </row>
    <row r="39" spans="1:13" x14ac:dyDescent="0.25">
      <c r="A39" s="16" t="s">
        <v>623</v>
      </c>
      <c r="B39" s="17">
        <f>SUM(B29:B38)</f>
        <v>90</v>
      </c>
      <c r="C39" s="17">
        <f>SUM(C29:C38)</f>
        <v>137</v>
      </c>
      <c r="D39" s="17">
        <f>SUM(D29:D38)</f>
        <v>13</v>
      </c>
      <c r="E39" s="17">
        <f>SUM(E29:E38)</f>
        <v>240</v>
      </c>
      <c r="F39" s="17">
        <f>SUM(F29:F38)</f>
        <v>227</v>
      </c>
      <c r="G39" s="17">
        <f>SUM(G29:G38)</f>
        <v>0</v>
      </c>
      <c r="H39" s="17">
        <f>SUM(H29:H38)</f>
        <v>0</v>
      </c>
      <c r="I39" s="17">
        <f>SUM(I29:I38)</f>
        <v>0</v>
      </c>
      <c r="J39" s="17">
        <f>SUM(J29:J38)</f>
        <v>0</v>
      </c>
      <c r="K39" s="17">
        <f>SUM(K29:K38)</f>
        <v>227</v>
      </c>
      <c r="L39" s="18">
        <f>IF(F39-J39=0,"—",G39/(F39-J39))</f>
        <v>0</v>
      </c>
      <c r="M39" s="17" t="str">
        <f>IF(COUNTIFS('Assessment Sheet'!$O$2:$O$241,"&lt;=1",'Assessment Sheet'!$K$2:$K$241,"&lt;&gt;Met",'Assessment Sheet'!$K$2:$K$241,"&lt;&gt;Not applicable")&gt;0,"Below L1",IF(COUNTIFS('Assessment Sheet'!$O$2:$O$241,"&lt;=2",'Assessment Sheet'!$K$2:$K$241,"&lt;&gt;Met",'Assessment Sheet'!$K$2:$K$241,"&lt;&gt;Not applicable")&gt;0,"L1",IF(COUNTIFS('Assessment Sheet'!$O$2:$O$241,"&lt;=3",'Assessment Sheet'!$K$2:$K$241,"&lt;&gt;Met",'Assessment Sheet'!$K$2:$K$241,"&lt;&gt;Not applicable")&gt;0,"L2","L3")))</f>
        <v>Below L1</v>
      </c>
    </row>
    <row r="42" spans="1:1" x14ac:dyDescent="0.25">
      <c r="A42" s="14" t="s">
        <v>627</v>
      </c>
    </row>
    <row r="43" ht="30" customHeight="1" spans="1:12" x14ac:dyDescent="0.25">
      <c r="A43" s="1" t="s">
        <v>628</v>
      </c>
      <c r="B43" s="1" t="s">
        <v>629</v>
      </c>
      <c r="C43" s="1" t="s">
        <v>630</v>
      </c>
      <c r="D43" s="1" t="s">
        <v>631</v>
      </c>
      <c r="E43" s="1" t="s">
        <v>632</v>
      </c>
      <c r="F43" s="1" t="s">
        <v>633</v>
      </c>
      <c r="G43" s="1" t="s">
        <v>634</v>
      </c>
      <c r="H43" s="1" t="s">
        <v>635</v>
      </c>
      <c r="I43" s="1" t="s">
        <v>636</v>
      </c>
      <c r="J43" s="1" t="s">
        <v>637</v>
      </c>
      <c r="K43" s="1" t="s">
        <v>638</v>
      </c>
      <c r="L43" s="1" t="s">
        <v>623</v>
      </c>
    </row>
    <row r="44" spans="1:12" x14ac:dyDescent="0.25">
      <c r="A44" s="9" t="s">
        <v>18</v>
      </c>
      <c r="B44" s="10">
        <f>COUNTIFS('Assessment Sheet'!$D$2:$D$241,$A44,'Assessment Sheet'!$B$2:$B$241,"V1 Identity and Authentication")</f>
        <v>12</v>
      </c>
      <c r="C44" s="10">
        <f>COUNTIFS('Assessment Sheet'!$D$2:$D$241,$A44,'Assessment Sheet'!$B$2:$B$241,"V2 Delegation and Effective Permissions")</f>
        <v>3</v>
      </c>
      <c r="D44" s="10">
        <f>COUNTIFS('Assessment Sheet'!$D$2:$D$241,$A44,'Assessment Sheet'!$B$2:$B$241,"V3 Authorization Decisions")</f>
        <v>1</v>
      </c>
      <c r="E44" s="10">
        <f>COUNTIFS('Assessment Sheet'!$D$2:$D$241,$A44,'Assessment Sheet'!$B$2:$B$241,"V4 Credentials and Egress Enforcement")</f>
        <v>4</v>
      </c>
      <c r="F44" s="10">
        <f>COUNTIFS('Assessment Sheet'!$D$2:$D$241,$A44,'Assessment Sheet'!$B$2:$B$241,"V5 Execution Isolation")</f>
        <v>1</v>
      </c>
      <c r="G44" s="10">
        <f>COUNTIFS('Assessment Sheet'!$D$2:$D$241,$A44,'Assessment Sheet'!$B$2:$B$241,"V6 Context and Untrusted Input")</f>
        <v>0</v>
      </c>
      <c r="H44" s="10">
        <f>COUNTIFS('Assessment Sheet'!$D$2:$D$241,$A44,'Assessment Sheet'!$B$2:$B$241,"V7 Output and Visibility")</f>
        <v>0</v>
      </c>
      <c r="I44" s="10">
        <f>COUNTIFS('Assessment Sheet'!$D$2:$D$241,$A44,'Assessment Sheet'!$B$2:$B$241,"V8 Data, Memory, and Output Artifacts")</f>
        <v>0</v>
      </c>
      <c r="J44" s="10">
        <f>COUNTIFS('Assessment Sheet'!$D$2:$D$241,$A44,'Assessment Sheet'!$B$2:$B$241,"V9 Lifecycle and Governance")</f>
        <v>1</v>
      </c>
      <c r="K44" s="10">
        <f>COUNTIFS('Assessment Sheet'!$D$2:$D$241,$A44,'Assessment Sheet'!$B$2:$B$241,"V10 Audit, Detection, and Response")</f>
        <v>0</v>
      </c>
      <c r="L44" s="10">
        <f>SUM(B44:K44)</f>
        <v>22</v>
      </c>
    </row>
    <row r="45" spans="1:12" x14ac:dyDescent="0.25">
      <c r="A45" s="9" t="s">
        <v>32</v>
      </c>
      <c r="B45" s="10">
        <f>COUNTIFS('Assessment Sheet'!$D$2:$D$241,$A45,'Assessment Sheet'!$B$2:$B$241,"V1 Identity and Authentication")</f>
        <v>6</v>
      </c>
      <c r="C45" s="10">
        <f>COUNTIFS('Assessment Sheet'!$D$2:$D$241,$A45,'Assessment Sheet'!$B$2:$B$241,"V2 Delegation and Effective Permissions")</f>
        <v>1</v>
      </c>
      <c r="D45" s="10">
        <f>COUNTIFS('Assessment Sheet'!$D$2:$D$241,$A45,'Assessment Sheet'!$B$2:$B$241,"V3 Authorization Decisions")</f>
        <v>0</v>
      </c>
      <c r="E45" s="10">
        <f>COUNTIFS('Assessment Sheet'!$D$2:$D$241,$A45,'Assessment Sheet'!$B$2:$B$241,"V4 Credentials and Egress Enforcement")</f>
        <v>0</v>
      </c>
      <c r="F45" s="10">
        <f>COUNTIFS('Assessment Sheet'!$D$2:$D$241,$A45,'Assessment Sheet'!$B$2:$B$241,"V5 Execution Isolation")</f>
        <v>0</v>
      </c>
      <c r="G45" s="10">
        <f>COUNTIFS('Assessment Sheet'!$D$2:$D$241,$A45,'Assessment Sheet'!$B$2:$B$241,"V6 Context and Untrusted Input")</f>
        <v>0</v>
      </c>
      <c r="H45" s="10">
        <f>COUNTIFS('Assessment Sheet'!$D$2:$D$241,$A45,'Assessment Sheet'!$B$2:$B$241,"V7 Output and Visibility")</f>
        <v>10</v>
      </c>
      <c r="I45" s="10">
        <f>COUNTIFS('Assessment Sheet'!$D$2:$D$241,$A45,'Assessment Sheet'!$B$2:$B$241,"V8 Data, Memory, and Output Artifacts")</f>
        <v>1</v>
      </c>
      <c r="J45" s="10">
        <f>COUNTIFS('Assessment Sheet'!$D$2:$D$241,$A45,'Assessment Sheet'!$B$2:$B$241,"V9 Lifecycle and Governance")</f>
        <v>0</v>
      </c>
      <c r="K45" s="10">
        <f>COUNTIFS('Assessment Sheet'!$D$2:$D$241,$A45,'Assessment Sheet'!$B$2:$B$241,"V10 Audit, Detection, and Response")</f>
        <v>0</v>
      </c>
      <c r="L45" s="10">
        <f>SUM(B45:K45)</f>
        <v>18</v>
      </c>
    </row>
    <row r="46" spans="1:12" x14ac:dyDescent="0.25">
      <c r="A46" s="9" t="s">
        <v>62</v>
      </c>
      <c r="B46" s="10">
        <f>COUNTIFS('Assessment Sheet'!$D$2:$D$241,$A46,'Assessment Sheet'!$B$2:$B$241,"V1 Identity and Authentication")</f>
        <v>1</v>
      </c>
      <c r="C46" s="10">
        <f>COUNTIFS('Assessment Sheet'!$D$2:$D$241,$A46,'Assessment Sheet'!$B$2:$B$241,"V2 Delegation and Effective Permissions")</f>
        <v>2</v>
      </c>
      <c r="D46" s="10">
        <f>COUNTIFS('Assessment Sheet'!$D$2:$D$241,$A46,'Assessment Sheet'!$B$2:$B$241,"V3 Authorization Decisions")</f>
        <v>14</v>
      </c>
      <c r="E46" s="10">
        <f>COUNTIFS('Assessment Sheet'!$D$2:$D$241,$A46,'Assessment Sheet'!$B$2:$B$241,"V4 Credentials and Egress Enforcement")</f>
        <v>2</v>
      </c>
      <c r="F46" s="10">
        <f>COUNTIFS('Assessment Sheet'!$D$2:$D$241,$A46,'Assessment Sheet'!$B$2:$B$241,"V5 Execution Isolation")</f>
        <v>11</v>
      </c>
      <c r="G46" s="10">
        <f>COUNTIFS('Assessment Sheet'!$D$2:$D$241,$A46,'Assessment Sheet'!$B$2:$B$241,"V6 Context and Untrusted Input")</f>
        <v>10</v>
      </c>
      <c r="H46" s="10">
        <f>COUNTIFS('Assessment Sheet'!$D$2:$D$241,$A46,'Assessment Sheet'!$B$2:$B$241,"V7 Output and Visibility")</f>
        <v>4</v>
      </c>
      <c r="I46" s="10">
        <f>COUNTIFS('Assessment Sheet'!$D$2:$D$241,$A46,'Assessment Sheet'!$B$2:$B$241,"V8 Data, Memory, and Output Artifacts")</f>
        <v>3</v>
      </c>
      <c r="J46" s="10">
        <f>COUNTIFS('Assessment Sheet'!$D$2:$D$241,$A46,'Assessment Sheet'!$B$2:$B$241,"V9 Lifecycle and Governance")</f>
        <v>0</v>
      </c>
      <c r="K46" s="10">
        <f>COUNTIFS('Assessment Sheet'!$D$2:$D$241,$A46,'Assessment Sheet'!$B$2:$B$241,"V10 Audit, Detection, and Response")</f>
        <v>1</v>
      </c>
      <c r="L46" s="10">
        <f>SUM(B46:K46)</f>
        <v>48</v>
      </c>
    </row>
    <row r="47" spans="1:12" x14ac:dyDescent="0.25">
      <c r="A47" s="9" t="s">
        <v>76</v>
      </c>
      <c r="B47" s="10">
        <f>COUNTIFS('Assessment Sheet'!$D$2:$D$241,$A47,'Assessment Sheet'!$B$2:$B$241,"V1 Identity and Authentication")</f>
        <v>1</v>
      </c>
      <c r="C47" s="10">
        <f>COUNTIFS('Assessment Sheet'!$D$2:$D$241,$A47,'Assessment Sheet'!$B$2:$B$241,"V2 Delegation and Effective Permissions")</f>
        <v>15</v>
      </c>
      <c r="D47" s="10">
        <f>COUNTIFS('Assessment Sheet'!$D$2:$D$241,$A47,'Assessment Sheet'!$B$2:$B$241,"V3 Authorization Decisions")</f>
        <v>8</v>
      </c>
      <c r="E47" s="10">
        <f>COUNTIFS('Assessment Sheet'!$D$2:$D$241,$A47,'Assessment Sheet'!$B$2:$B$241,"V4 Credentials and Egress Enforcement")</f>
        <v>0</v>
      </c>
      <c r="F47" s="10">
        <f>COUNTIFS('Assessment Sheet'!$D$2:$D$241,$A47,'Assessment Sheet'!$B$2:$B$241,"V5 Execution Isolation")</f>
        <v>0</v>
      </c>
      <c r="G47" s="10">
        <f>COUNTIFS('Assessment Sheet'!$D$2:$D$241,$A47,'Assessment Sheet'!$B$2:$B$241,"V6 Context and Untrusted Input")</f>
        <v>0</v>
      </c>
      <c r="H47" s="10">
        <f>COUNTIFS('Assessment Sheet'!$D$2:$D$241,$A47,'Assessment Sheet'!$B$2:$B$241,"V7 Output and Visibility")</f>
        <v>0</v>
      </c>
      <c r="I47" s="10">
        <f>COUNTIFS('Assessment Sheet'!$D$2:$D$241,$A47,'Assessment Sheet'!$B$2:$B$241,"V8 Data, Memory, and Output Artifacts")</f>
        <v>1</v>
      </c>
      <c r="J47" s="10">
        <f>COUNTIFS('Assessment Sheet'!$D$2:$D$241,$A47,'Assessment Sheet'!$B$2:$B$241,"V9 Lifecycle and Governance")</f>
        <v>1</v>
      </c>
      <c r="K47" s="10">
        <f>COUNTIFS('Assessment Sheet'!$D$2:$D$241,$A47,'Assessment Sheet'!$B$2:$B$241,"V10 Audit, Detection, and Response")</f>
        <v>3</v>
      </c>
      <c r="L47" s="10">
        <f>SUM(B47:K47)</f>
        <v>29</v>
      </c>
    </row>
    <row r="48" spans="1:12" x14ac:dyDescent="0.25">
      <c r="A48" s="9" t="s">
        <v>65</v>
      </c>
      <c r="B48" s="10">
        <f>COUNTIFS('Assessment Sheet'!$D$2:$D$241,$A48,'Assessment Sheet'!$B$2:$B$241,"V1 Identity and Authentication")</f>
        <v>1</v>
      </c>
      <c r="C48" s="10">
        <f>COUNTIFS('Assessment Sheet'!$D$2:$D$241,$A48,'Assessment Sheet'!$B$2:$B$241,"V2 Delegation and Effective Permissions")</f>
        <v>2</v>
      </c>
      <c r="D48" s="10">
        <f>COUNTIFS('Assessment Sheet'!$D$2:$D$241,$A48,'Assessment Sheet'!$B$2:$B$241,"V3 Authorization Decisions")</f>
        <v>2</v>
      </c>
      <c r="E48" s="10">
        <f>COUNTIFS('Assessment Sheet'!$D$2:$D$241,$A48,'Assessment Sheet'!$B$2:$B$241,"V4 Credentials and Egress Enforcement")</f>
        <v>19</v>
      </c>
      <c r="F48" s="10">
        <f>COUNTIFS('Assessment Sheet'!$D$2:$D$241,$A48,'Assessment Sheet'!$B$2:$B$241,"V5 Execution Isolation")</f>
        <v>2</v>
      </c>
      <c r="G48" s="10">
        <f>COUNTIFS('Assessment Sheet'!$D$2:$D$241,$A48,'Assessment Sheet'!$B$2:$B$241,"V6 Context and Untrusted Input")</f>
        <v>0</v>
      </c>
      <c r="H48" s="10">
        <f>COUNTIFS('Assessment Sheet'!$D$2:$D$241,$A48,'Assessment Sheet'!$B$2:$B$241,"V7 Output and Visibility")</f>
        <v>3</v>
      </c>
      <c r="I48" s="10">
        <f>COUNTIFS('Assessment Sheet'!$D$2:$D$241,$A48,'Assessment Sheet'!$B$2:$B$241,"V8 Data, Memory, and Output Artifacts")</f>
        <v>3</v>
      </c>
      <c r="J48" s="10">
        <f>COUNTIFS('Assessment Sheet'!$D$2:$D$241,$A48,'Assessment Sheet'!$B$2:$B$241,"V9 Lifecycle and Governance")</f>
        <v>0</v>
      </c>
      <c r="K48" s="10">
        <f>COUNTIFS('Assessment Sheet'!$D$2:$D$241,$A48,'Assessment Sheet'!$B$2:$B$241,"V10 Audit, Detection, and Response")</f>
        <v>0</v>
      </c>
      <c r="L48" s="10">
        <f>SUM(B48:K48)</f>
        <v>32</v>
      </c>
    </row>
    <row r="49" spans="1:12" x14ac:dyDescent="0.25">
      <c r="A49" s="9" t="s">
        <v>51</v>
      </c>
      <c r="B49" s="10">
        <f>COUNTIFS('Assessment Sheet'!$D$2:$D$241,$A49,'Assessment Sheet'!$B$2:$B$241,"V1 Identity and Authentication")</f>
        <v>1</v>
      </c>
      <c r="C49" s="10">
        <f>COUNTIFS('Assessment Sheet'!$D$2:$D$241,$A49,'Assessment Sheet'!$B$2:$B$241,"V2 Delegation and Effective Permissions")</f>
        <v>0</v>
      </c>
      <c r="D49" s="10">
        <f>COUNTIFS('Assessment Sheet'!$D$2:$D$241,$A49,'Assessment Sheet'!$B$2:$B$241,"V3 Authorization Decisions")</f>
        <v>0</v>
      </c>
      <c r="E49" s="10">
        <f>COUNTIFS('Assessment Sheet'!$D$2:$D$241,$A49,'Assessment Sheet'!$B$2:$B$241,"V4 Credentials and Egress Enforcement")</f>
        <v>3</v>
      </c>
      <c r="F49" s="10">
        <f>COUNTIFS('Assessment Sheet'!$D$2:$D$241,$A49,'Assessment Sheet'!$B$2:$B$241,"V5 Execution Isolation")</f>
        <v>0</v>
      </c>
      <c r="G49" s="10">
        <f>COUNTIFS('Assessment Sheet'!$D$2:$D$241,$A49,'Assessment Sheet'!$B$2:$B$241,"V6 Context and Untrusted Input")</f>
        <v>0</v>
      </c>
      <c r="H49" s="10">
        <f>COUNTIFS('Assessment Sheet'!$D$2:$D$241,$A49,'Assessment Sheet'!$B$2:$B$241,"V7 Output and Visibility")</f>
        <v>0</v>
      </c>
      <c r="I49" s="10">
        <f>COUNTIFS('Assessment Sheet'!$D$2:$D$241,$A49,'Assessment Sheet'!$B$2:$B$241,"V8 Data, Memory, and Output Artifacts")</f>
        <v>0</v>
      </c>
      <c r="J49" s="10">
        <f>COUNTIFS('Assessment Sheet'!$D$2:$D$241,$A49,'Assessment Sheet'!$B$2:$B$241,"V9 Lifecycle and Governance")</f>
        <v>0</v>
      </c>
      <c r="K49" s="10">
        <f>COUNTIFS('Assessment Sheet'!$D$2:$D$241,$A49,'Assessment Sheet'!$B$2:$B$241,"V10 Audit, Detection, and Response")</f>
        <v>0</v>
      </c>
      <c r="L49" s="10">
        <f>SUM(B49:K49)</f>
        <v>4</v>
      </c>
    </row>
    <row r="50" spans="1:12" x14ac:dyDescent="0.25">
      <c r="A50" s="9" t="s">
        <v>403</v>
      </c>
      <c r="B50" s="10">
        <f>COUNTIFS('Assessment Sheet'!$D$2:$D$241,$A50,'Assessment Sheet'!$B$2:$B$241,"V1 Identity and Authentication")</f>
        <v>0</v>
      </c>
      <c r="C50" s="10">
        <f>COUNTIFS('Assessment Sheet'!$D$2:$D$241,$A50,'Assessment Sheet'!$B$2:$B$241,"V2 Delegation and Effective Permissions")</f>
        <v>0</v>
      </c>
      <c r="D50" s="10">
        <f>COUNTIFS('Assessment Sheet'!$D$2:$D$241,$A50,'Assessment Sheet'!$B$2:$B$241,"V3 Authorization Decisions")</f>
        <v>0</v>
      </c>
      <c r="E50" s="10">
        <f>COUNTIFS('Assessment Sheet'!$D$2:$D$241,$A50,'Assessment Sheet'!$B$2:$B$241,"V4 Credentials and Egress Enforcement")</f>
        <v>0</v>
      </c>
      <c r="F50" s="10">
        <f>COUNTIFS('Assessment Sheet'!$D$2:$D$241,$A50,'Assessment Sheet'!$B$2:$B$241,"V5 Execution Isolation")</f>
        <v>0</v>
      </c>
      <c r="G50" s="10">
        <f>COUNTIFS('Assessment Sheet'!$D$2:$D$241,$A50,'Assessment Sheet'!$B$2:$B$241,"V6 Context and Untrusted Input")</f>
        <v>0</v>
      </c>
      <c r="H50" s="10">
        <f>COUNTIFS('Assessment Sheet'!$D$2:$D$241,$A50,'Assessment Sheet'!$B$2:$B$241,"V7 Output and Visibility")</f>
        <v>1</v>
      </c>
      <c r="I50" s="10">
        <f>COUNTIFS('Assessment Sheet'!$D$2:$D$241,$A50,'Assessment Sheet'!$B$2:$B$241,"V8 Data, Memory, and Output Artifacts")</f>
        <v>13</v>
      </c>
      <c r="J50" s="10">
        <f>COUNTIFS('Assessment Sheet'!$D$2:$D$241,$A50,'Assessment Sheet'!$B$2:$B$241,"V9 Lifecycle and Governance")</f>
        <v>0</v>
      </c>
      <c r="K50" s="10">
        <f>COUNTIFS('Assessment Sheet'!$D$2:$D$241,$A50,'Assessment Sheet'!$B$2:$B$241,"V10 Audit, Detection, and Response")</f>
        <v>0</v>
      </c>
      <c r="L50" s="10">
        <f>SUM(B50:K50)</f>
        <v>14</v>
      </c>
    </row>
    <row r="51" spans="1:12" x14ac:dyDescent="0.25">
      <c r="A51" s="9" t="s">
        <v>232</v>
      </c>
      <c r="B51" s="10">
        <f>COUNTIFS('Assessment Sheet'!$D$2:$D$241,$A51,'Assessment Sheet'!$B$2:$B$241,"V1 Identity and Authentication")</f>
        <v>0</v>
      </c>
      <c r="C51" s="10">
        <f>COUNTIFS('Assessment Sheet'!$D$2:$D$241,$A51,'Assessment Sheet'!$B$2:$B$241,"V2 Delegation and Effective Permissions")</f>
        <v>0</v>
      </c>
      <c r="D51" s="10">
        <f>COUNTIFS('Assessment Sheet'!$D$2:$D$241,$A51,'Assessment Sheet'!$B$2:$B$241,"V3 Authorization Decisions")</f>
        <v>0</v>
      </c>
      <c r="E51" s="10">
        <f>COUNTIFS('Assessment Sheet'!$D$2:$D$241,$A51,'Assessment Sheet'!$B$2:$B$241,"V4 Credentials and Egress Enforcement")</f>
        <v>3</v>
      </c>
      <c r="F51" s="10">
        <f>COUNTIFS('Assessment Sheet'!$D$2:$D$241,$A51,'Assessment Sheet'!$B$2:$B$241,"V5 Execution Isolation")</f>
        <v>10</v>
      </c>
      <c r="G51" s="10">
        <f>COUNTIFS('Assessment Sheet'!$D$2:$D$241,$A51,'Assessment Sheet'!$B$2:$B$241,"V6 Context and Untrusted Input")</f>
        <v>0</v>
      </c>
      <c r="H51" s="10">
        <f>COUNTIFS('Assessment Sheet'!$D$2:$D$241,$A51,'Assessment Sheet'!$B$2:$B$241,"V7 Output and Visibility")</f>
        <v>0</v>
      </c>
      <c r="I51" s="10">
        <f>COUNTIFS('Assessment Sheet'!$D$2:$D$241,$A51,'Assessment Sheet'!$B$2:$B$241,"V8 Data, Memory, and Output Artifacts")</f>
        <v>0</v>
      </c>
      <c r="J51" s="10">
        <f>COUNTIFS('Assessment Sheet'!$D$2:$D$241,$A51,'Assessment Sheet'!$B$2:$B$241,"V9 Lifecycle and Governance")</f>
        <v>0</v>
      </c>
      <c r="K51" s="10">
        <f>COUNTIFS('Assessment Sheet'!$D$2:$D$241,$A51,'Assessment Sheet'!$B$2:$B$241,"V10 Audit, Detection, and Response")</f>
        <v>0</v>
      </c>
      <c r="L51" s="10">
        <f>SUM(B51:K51)</f>
        <v>13</v>
      </c>
    </row>
    <row r="52" spans="1:12" x14ac:dyDescent="0.25">
      <c r="A52" s="9" t="s">
        <v>111</v>
      </c>
      <c r="B52" s="10">
        <f>COUNTIFS('Assessment Sheet'!$D$2:$D$241,$A52,'Assessment Sheet'!$B$2:$B$241,"V1 Identity and Authentication")</f>
        <v>0</v>
      </c>
      <c r="C52" s="10">
        <f>COUNTIFS('Assessment Sheet'!$D$2:$D$241,$A52,'Assessment Sheet'!$B$2:$B$241,"V2 Delegation and Effective Permissions")</f>
        <v>3</v>
      </c>
      <c r="D52" s="10">
        <f>COUNTIFS('Assessment Sheet'!$D$2:$D$241,$A52,'Assessment Sheet'!$B$2:$B$241,"V3 Authorization Decisions")</f>
        <v>2</v>
      </c>
      <c r="E52" s="10">
        <f>COUNTIFS('Assessment Sheet'!$D$2:$D$241,$A52,'Assessment Sheet'!$B$2:$B$241,"V4 Credentials and Egress Enforcement")</f>
        <v>2</v>
      </c>
      <c r="F52" s="10">
        <f>COUNTIFS('Assessment Sheet'!$D$2:$D$241,$A52,'Assessment Sheet'!$B$2:$B$241,"V5 Execution Isolation")</f>
        <v>3</v>
      </c>
      <c r="G52" s="10">
        <f>COUNTIFS('Assessment Sheet'!$D$2:$D$241,$A52,'Assessment Sheet'!$B$2:$B$241,"V6 Context and Untrusted Input")</f>
        <v>3</v>
      </c>
      <c r="H52" s="10">
        <f>COUNTIFS('Assessment Sheet'!$D$2:$D$241,$A52,'Assessment Sheet'!$B$2:$B$241,"V7 Output and Visibility")</f>
        <v>0</v>
      </c>
      <c r="I52" s="10">
        <f>COUNTIFS('Assessment Sheet'!$D$2:$D$241,$A52,'Assessment Sheet'!$B$2:$B$241,"V8 Data, Memory, and Output Artifacts")</f>
        <v>1</v>
      </c>
      <c r="J52" s="10">
        <f>COUNTIFS('Assessment Sheet'!$D$2:$D$241,$A52,'Assessment Sheet'!$B$2:$B$241,"V9 Lifecycle and Governance")</f>
        <v>22</v>
      </c>
      <c r="K52" s="10">
        <f>COUNTIFS('Assessment Sheet'!$D$2:$D$241,$A52,'Assessment Sheet'!$B$2:$B$241,"V10 Audit, Detection, and Response")</f>
        <v>4</v>
      </c>
      <c r="L52" s="10">
        <f>SUM(B52:K52)</f>
        <v>40</v>
      </c>
    </row>
    <row r="53" spans="1:12" x14ac:dyDescent="0.25">
      <c r="A53" s="9" t="s">
        <v>79</v>
      </c>
      <c r="B53" s="10">
        <f>COUNTIFS('Assessment Sheet'!$D$2:$D$241,$A53,'Assessment Sheet'!$B$2:$B$241,"V1 Identity and Authentication")</f>
        <v>1</v>
      </c>
      <c r="C53" s="10">
        <f>COUNTIFS('Assessment Sheet'!$D$2:$D$241,$A53,'Assessment Sheet'!$B$2:$B$241,"V2 Delegation and Effective Permissions")</f>
        <v>2</v>
      </c>
      <c r="D53" s="10">
        <f>COUNTIFS('Assessment Sheet'!$D$2:$D$241,$A53,'Assessment Sheet'!$B$2:$B$241,"V3 Authorization Decisions")</f>
        <v>0</v>
      </c>
      <c r="E53" s="10">
        <f>COUNTIFS('Assessment Sheet'!$D$2:$D$241,$A53,'Assessment Sheet'!$B$2:$B$241,"V4 Credentials and Egress Enforcement")</f>
        <v>0</v>
      </c>
      <c r="F53" s="10">
        <f>COUNTIFS('Assessment Sheet'!$D$2:$D$241,$A53,'Assessment Sheet'!$B$2:$B$241,"V5 Execution Isolation")</f>
        <v>0</v>
      </c>
      <c r="G53" s="10">
        <f>COUNTIFS('Assessment Sheet'!$D$2:$D$241,$A53,'Assessment Sheet'!$B$2:$B$241,"V6 Context and Untrusted Input")</f>
        <v>0</v>
      </c>
      <c r="H53" s="10">
        <f>COUNTIFS('Assessment Sheet'!$D$2:$D$241,$A53,'Assessment Sheet'!$B$2:$B$241,"V7 Output and Visibility")</f>
        <v>0</v>
      </c>
      <c r="I53" s="10">
        <f>COUNTIFS('Assessment Sheet'!$D$2:$D$241,$A53,'Assessment Sheet'!$B$2:$B$241,"V8 Data, Memory, and Output Artifacts")</f>
        <v>0</v>
      </c>
      <c r="J53" s="10">
        <f>COUNTIFS('Assessment Sheet'!$D$2:$D$241,$A53,'Assessment Sheet'!$B$2:$B$241,"V9 Lifecycle and Governance")</f>
        <v>2</v>
      </c>
      <c r="K53" s="10">
        <f>COUNTIFS('Assessment Sheet'!$D$2:$D$241,$A53,'Assessment Sheet'!$B$2:$B$241,"V10 Audit, Detection, and Response")</f>
        <v>15</v>
      </c>
      <c r="L53" s="10">
        <f>SUM(B53:K53)</f>
        <v>20</v>
      </c>
    </row>
    <row r="54" spans="1:12" x14ac:dyDescent="0.25">
      <c r="A54" s="16" t="s">
        <v>623</v>
      </c>
      <c r="B54" s="17">
        <f>SUM(B44:B53)</f>
        <v>23</v>
      </c>
      <c r="C54" s="17">
        <f>SUM(C44:C53)</f>
        <v>28</v>
      </c>
      <c r="D54" s="17">
        <f>SUM(D44:D53)</f>
        <v>27</v>
      </c>
      <c r="E54" s="17">
        <f>SUM(E44:E53)</f>
        <v>33</v>
      </c>
      <c r="F54" s="17">
        <f>SUM(F44:F53)</f>
        <v>27</v>
      </c>
      <c r="G54" s="17">
        <f>SUM(G44:G53)</f>
        <v>13</v>
      </c>
      <c r="H54" s="17">
        <f>SUM(H44:H53)</f>
        <v>18</v>
      </c>
      <c r="I54" s="17">
        <f>SUM(I44:I53)</f>
        <v>22</v>
      </c>
      <c r="J54" s="17">
        <f>SUM(J44:J53)</f>
        <v>26</v>
      </c>
      <c r="K54" s="17">
        <f>SUM(K44:K53)</f>
        <v>23</v>
      </c>
      <c r="L54" s="17">
        <f>SUM(L44:L53)</f>
        <v>240</v>
      </c>
    </row>
    <row r="55" spans="1:1" x14ac:dyDescent="0.25">
      <c r="A55" s="8" t="s">
        <v>639</v>
      </c>
    </row>
  </sheetData>
  <conditionalFormatting sqref="B44:K53">
    <cfRule type="expression" dxfId="7" priority="1">
      <formula>B44&gt;=8</formula>
    </cfRule>
    <cfRule type="expression" dxfId="8" priority="2">
      <formula>AND(B44&gt;=3,B44&lt;8)</formula>
    </cfRule>
    <cfRule type="expression" dxfId="9" priority="3">
      <formula>B44=0</formula>
    </cfRule>
  </conditionalFormatting>
  <dataValidations count="1">
    <dataValidation type="list" sqref="B10">
      <formula1>"L1,L2,L3"</formula1>
    </dataValidation>
  </dataValidation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0"/>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8" customWidth="1"/>
    <col min="3" max="3" width="11" customWidth="1"/>
    <col min="4" max="4" width="56" customWidth="1"/>
    <col min="5" max="5" width="8" customWidth="1"/>
    <col min="8" max="8" width="11" customWidth="1"/>
    <col min="9" max="9" width="30" customWidth="1"/>
  </cols>
  <sheetData>
    <row r="1" spans="1:1" x14ac:dyDescent="0.25">
      <c r="A1" s="7" t="s">
        <v>640</v>
      </c>
    </row>
    <row r="2" spans="1:1" x14ac:dyDescent="0.25">
      <c r="A2" s="8" t="s">
        <v>641</v>
      </c>
    </row>
    <row r="3" ht="30" customHeight="1" spans="1:9" x14ac:dyDescent="0.25">
      <c r="A3" s="1" t="s">
        <v>0</v>
      </c>
      <c r="B3" s="1" t="s">
        <v>1</v>
      </c>
      <c r="C3" s="1" t="s">
        <v>3</v>
      </c>
      <c r="D3" s="1" t="s">
        <v>4</v>
      </c>
      <c r="E3" s="1" t="s">
        <v>5</v>
      </c>
      <c r="F3" s="1" t="s">
        <v>10</v>
      </c>
      <c r="G3" s="1" t="s">
        <v>12</v>
      </c>
      <c r="H3" s="1" t="s">
        <v>13</v>
      </c>
      <c r="I3" s="1" t="s">
        <v>11</v>
      </c>
    </row>
    <row r="4" ht="62" customHeight="1" spans="1:9" x14ac:dyDescent="0.25">
      <c r="A4" s="3" t="s">
        <v>15</v>
      </c>
      <c r="B4" s="4" t="s">
        <v>16</v>
      </c>
      <c r="C4" s="3" t="s">
        <v>18</v>
      </c>
      <c r="D4" s="4" t="s">
        <v>19</v>
      </c>
      <c r="E4" s="3" t="s">
        <v>6</v>
      </c>
      <c r="F4" s="3" t="s">
        <v>22</v>
      </c>
      <c r="G4" s="4" t="s">
        <v>23</v>
      </c>
      <c r="H4" s="4" t="s">
        <v>23</v>
      </c>
      <c r="I4" s="4" t="s">
        <v>23</v>
      </c>
    </row>
    <row r="5" ht="90" customHeight="1" spans="1:9" x14ac:dyDescent="0.25">
      <c r="A5" s="3" t="s">
        <v>28</v>
      </c>
      <c r="B5" s="4" t="s">
        <v>16</v>
      </c>
      <c r="C5" s="3" t="s">
        <v>18</v>
      </c>
      <c r="D5" s="4" t="s">
        <v>29</v>
      </c>
      <c r="E5" s="3" t="s">
        <v>6</v>
      </c>
      <c r="F5" s="3" t="s">
        <v>22</v>
      </c>
      <c r="G5" s="4" t="s">
        <v>23</v>
      </c>
      <c r="H5" s="4" t="s">
        <v>23</v>
      </c>
      <c r="I5" s="4" t="s">
        <v>23</v>
      </c>
    </row>
    <row r="6" ht="48" customHeight="1" spans="1:9" x14ac:dyDescent="0.25">
      <c r="A6" s="3" t="s">
        <v>30</v>
      </c>
      <c r="B6" s="4" t="s">
        <v>16</v>
      </c>
      <c r="C6" s="3" t="s">
        <v>32</v>
      </c>
      <c r="D6" s="4" t="s">
        <v>33</v>
      </c>
      <c r="E6" s="3" t="s">
        <v>6</v>
      </c>
      <c r="F6" s="3" t="s">
        <v>22</v>
      </c>
      <c r="G6" s="4" t="s">
        <v>23</v>
      </c>
      <c r="H6" s="4" t="s">
        <v>23</v>
      </c>
      <c r="I6" s="4" t="s">
        <v>23</v>
      </c>
    </row>
    <row r="7" ht="62" customHeight="1" spans="1:9" x14ac:dyDescent="0.25">
      <c r="A7" s="3" t="s">
        <v>35</v>
      </c>
      <c r="B7" s="4" t="s">
        <v>16</v>
      </c>
      <c r="C7" s="3" t="s">
        <v>32</v>
      </c>
      <c r="D7" s="4" t="s">
        <v>36</v>
      </c>
      <c r="E7" s="3" t="s">
        <v>6</v>
      </c>
      <c r="F7" s="3" t="s">
        <v>22</v>
      </c>
      <c r="G7" s="4" t="s">
        <v>23</v>
      </c>
      <c r="H7" s="4" t="s">
        <v>23</v>
      </c>
      <c r="I7" s="4" t="s">
        <v>23</v>
      </c>
    </row>
    <row r="8" ht="76" customHeight="1" spans="1:9" x14ac:dyDescent="0.25">
      <c r="A8" s="3" t="s">
        <v>43</v>
      </c>
      <c r="B8" s="4" t="s">
        <v>16</v>
      </c>
      <c r="C8" s="3" t="s">
        <v>32</v>
      </c>
      <c r="D8" s="4" t="s">
        <v>44</v>
      </c>
      <c r="E8" s="3" t="s">
        <v>6</v>
      </c>
      <c r="F8" s="3" t="s">
        <v>22</v>
      </c>
      <c r="G8" s="4" t="s">
        <v>23</v>
      </c>
      <c r="H8" s="4" t="s">
        <v>23</v>
      </c>
      <c r="I8" s="4" t="s">
        <v>23</v>
      </c>
    </row>
    <row r="9" ht="48" customHeight="1" spans="1:9" x14ac:dyDescent="0.25">
      <c r="A9" s="3" t="s">
        <v>45</v>
      </c>
      <c r="B9" s="4" t="s">
        <v>16</v>
      </c>
      <c r="C9" s="3" t="s">
        <v>18</v>
      </c>
      <c r="D9" s="4" t="s">
        <v>47</v>
      </c>
      <c r="E9" s="3" t="s">
        <v>6</v>
      </c>
      <c r="F9" s="3" t="s">
        <v>22</v>
      </c>
      <c r="G9" s="4" t="s">
        <v>23</v>
      </c>
      <c r="H9" s="4" t="s">
        <v>23</v>
      </c>
      <c r="I9" s="4" t="s">
        <v>23</v>
      </c>
    </row>
    <row r="10" ht="48" customHeight="1" spans="1:9" x14ac:dyDescent="0.25">
      <c r="A10" s="3" t="s">
        <v>48</v>
      </c>
      <c r="B10" s="4" t="s">
        <v>16</v>
      </c>
      <c r="C10" s="3" t="s">
        <v>18</v>
      </c>
      <c r="D10" s="4" t="s">
        <v>49</v>
      </c>
      <c r="E10" s="3" t="s">
        <v>6</v>
      </c>
      <c r="F10" s="3" t="s">
        <v>22</v>
      </c>
      <c r="G10" s="4" t="s">
        <v>23</v>
      </c>
      <c r="H10" s="4" t="s">
        <v>23</v>
      </c>
      <c r="I10" s="4" t="s">
        <v>23</v>
      </c>
    </row>
    <row r="11" ht="48" customHeight="1" spans="1:9" x14ac:dyDescent="0.25">
      <c r="A11" s="3" t="s">
        <v>57</v>
      </c>
      <c r="B11" s="4" t="s">
        <v>16</v>
      </c>
      <c r="C11" s="3" t="s">
        <v>18</v>
      </c>
      <c r="D11" s="4" t="s">
        <v>59</v>
      </c>
      <c r="E11" s="3" t="s">
        <v>6</v>
      </c>
      <c r="F11" s="3" t="s">
        <v>22</v>
      </c>
      <c r="G11" s="4" t="s">
        <v>23</v>
      </c>
      <c r="H11" s="4" t="s">
        <v>23</v>
      </c>
      <c r="I11" s="4" t="s">
        <v>23</v>
      </c>
    </row>
    <row r="12" ht="48" customHeight="1" spans="1:9" x14ac:dyDescent="0.25">
      <c r="A12" s="3" t="s">
        <v>61</v>
      </c>
      <c r="B12" s="4" t="s">
        <v>16</v>
      </c>
      <c r="C12" s="3" t="s">
        <v>62</v>
      </c>
      <c r="D12" s="4" t="s">
        <v>63</v>
      </c>
      <c r="E12" s="3" t="s">
        <v>6</v>
      </c>
      <c r="F12" s="3" t="s">
        <v>22</v>
      </c>
      <c r="G12" s="4" t="s">
        <v>23</v>
      </c>
      <c r="H12" s="4" t="s">
        <v>23</v>
      </c>
      <c r="I12" s="4" t="s">
        <v>23</v>
      </c>
    </row>
    <row r="13" ht="48" customHeight="1" spans="1:9" x14ac:dyDescent="0.25">
      <c r="A13" s="3" t="s">
        <v>64</v>
      </c>
      <c r="B13" s="4" t="s">
        <v>16</v>
      </c>
      <c r="C13" s="3" t="s">
        <v>65</v>
      </c>
      <c r="D13" s="4" t="s">
        <v>66</v>
      </c>
      <c r="E13" s="3" t="s">
        <v>6</v>
      </c>
      <c r="F13" s="3" t="s">
        <v>22</v>
      </c>
      <c r="G13" s="4" t="s">
        <v>23</v>
      </c>
      <c r="H13" s="4" t="s">
        <v>23</v>
      </c>
      <c r="I13" s="4" t="s">
        <v>23</v>
      </c>
    </row>
    <row r="14" ht="34" customHeight="1" spans="1:9" x14ac:dyDescent="0.25">
      <c r="A14" s="3" t="s">
        <v>75</v>
      </c>
      <c r="B14" s="4" t="s">
        <v>16</v>
      </c>
      <c r="C14" s="3" t="s">
        <v>76</v>
      </c>
      <c r="D14" s="4" t="s">
        <v>77</v>
      </c>
      <c r="E14" s="3" t="s">
        <v>6</v>
      </c>
      <c r="F14" s="3" t="s">
        <v>22</v>
      </c>
      <c r="G14" s="4" t="s">
        <v>23</v>
      </c>
      <c r="H14" s="4" t="s">
        <v>23</v>
      </c>
      <c r="I14" s="4" t="s">
        <v>23</v>
      </c>
    </row>
    <row r="15" ht="90" customHeight="1" spans="1:9" x14ac:dyDescent="0.25">
      <c r="A15" s="3" t="s">
        <v>81</v>
      </c>
      <c r="B15" s="4" t="s">
        <v>82</v>
      </c>
      <c r="C15" s="3" t="s">
        <v>65</v>
      </c>
      <c r="D15" s="4" t="s">
        <v>84</v>
      </c>
      <c r="E15" s="3" t="s">
        <v>6</v>
      </c>
      <c r="F15" s="3" t="s">
        <v>22</v>
      </c>
      <c r="G15" s="4" t="s">
        <v>23</v>
      </c>
      <c r="H15" s="4" t="s">
        <v>23</v>
      </c>
      <c r="I15" s="4" t="s">
        <v>23</v>
      </c>
    </row>
    <row r="16" ht="76" customHeight="1" spans="1:9" x14ac:dyDescent="0.25">
      <c r="A16" s="3" t="s">
        <v>85</v>
      </c>
      <c r="B16" s="4" t="s">
        <v>82</v>
      </c>
      <c r="C16" s="3" t="s">
        <v>65</v>
      </c>
      <c r="D16" s="4" t="s">
        <v>86</v>
      </c>
      <c r="E16" s="3" t="s">
        <v>6</v>
      </c>
      <c r="F16" s="3" t="s">
        <v>22</v>
      </c>
      <c r="G16" s="4" t="s">
        <v>23</v>
      </c>
      <c r="H16" s="4" t="s">
        <v>23</v>
      </c>
      <c r="I16" s="4" t="s">
        <v>23</v>
      </c>
    </row>
    <row r="17" ht="48" customHeight="1" spans="1:9" x14ac:dyDescent="0.25">
      <c r="A17" s="3" t="s">
        <v>89</v>
      </c>
      <c r="B17" s="4" t="s">
        <v>82</v>
      </c>
      <c r="C17" s="3" t="s">
        <v>76</v>
      </c>
      <c r="D17" s="4" t="s">
        <v>91</v>
      </c>
      <c r="E17" s="3" t="s">
        <v>6</v>
      </c>
      <c r="F17" s="3" t="s">
        <v>22</v>
      </c>
      <c r="G17" s="4" t="s">
        <v>23</v>
      </c>
      <c r="H17" s="4" t="s">
        <v>23</v>
      </c>
      <c r="I17" s="4" t="s">
        <v>23</v>
      </c>
    </row>
    <row r="18" ht="48" customHeight="1" spans="1:9" x14ac:dyDescent="0.25">
      <c r="A18" s="3" t="s">
        <v>92</v>
      </c>
      <c r="B18" s="4" t="s">
        <v>82</v>
      </c>
      <c r="C18" s="3" t="s">
        <v>76</v>
      </c>
      <c r="D18" s="4" t="s">
        <v>93</v>
      </c>
      <c r="E18" s="3" t="s">
        <v>6</v>
      </c>
      <c r="F18" s="3" t="s">
        <v>22</v>
      </c>
      <c r="G18" s="4" t="s">
        <v>23</v>
      </c>
      <c r="H18" s="4" t="s">
        <v>23</v>
      </c>
      <c r="I18" s="4" t="s">
        <v>23</v>
      </c>
    </row>
    <row r="19" ht="48" customHeight="1" spans="1:9" x14ac:dyDescent="0.25">
      <c r="A19" s="3" t="s">
        <v>102</v>
      </c>
      <c r="B19" s="4" t="s">
        <v>82</v>
      </c>
      <c r="C19" s="3" t="s">
        <v>76</v>
      </c>
      <c r="D19" s="4" t="s">
        <v>104</v>
      </c>
      <c r="E19" s="3" t="s">
        <v>6</v>
      </c>
      <c r="F19" s="3" t="s">
        <v>22</v>
      </c>
      <c r="G19" s="4" t="s">
        <v>23</v>
      </c>
      <c r="H19" s="4" t="s">
        <v>23</v>
      </c>
      <c r="I19" s="4" t="s">
        <v>23</v>
      </c>
    </row>
    <row r="20" ht="48" customHeight="1" spans="1:9" x14ac:dyDescent="0.25">
      <c r="A20" s="3" t="s">
        <v>106</v>
      </c>
      <c r="B20" s="4" t="s">
        <v>82</v>
      </c>
      <c r="C20" s="3" t="s">
        <v>76</v>
      </c>
      <c r="D20" s="4" t="s">
        <v>107</v>
      </c>
      <c r="E20" s="3" t="s">
        <v>6</v>
      </c>
      <c r="F20" s="3" t="s">
        <v>22</v>
      </c>
      <c r="G20" s="4" t="s">
        <v>23</v>
      </c>
      <c r="H20" s="4" t="s">
        <v>23</v>
      </c>
      <c r="I20" s="4" t="s">
        <v>23</v>
      </c>
    </row>
    <row r="21" ht="48" customHeight="1" spans="1:9" x14ac:dyDescent="0.25">
      <c r="A21" s="3" t="s">
        <v>108</v>
      </c>
      <c r="B21" s="4" t="s">
        <v>82</v>
      </c>
      <c r="C21" s="3" t="s">
        <v>62</v>
      </c>
      <c r="D21" s="4" t="s">
        <v>109</v>
      </c>
      <c r="E21" s="3" t="s">
        <v>6</v>
      </c>
      <c r="F21" s="3" t="s">
        <v>22</v>
      </c>
      <c r="G21" s="4" t="s">
        <v>23</v>
      </c>
      <c r="H21" s="4" t="s">
        <v>23</v>
      </c>
      <c r="I21" s="4" t="s">
        <v>23</v>
      </c>
    </row>
    <row r="22" ht="76" customHeight="1" spans="1:9" x14ac:dyDescent="0.25">
      <c r="A22" s="3" t="s">
        <v>117</v>
      </c>
      <c r="B22" s="4" t="s">
        <v>82</v>
      </c>
      <c r="C22" s="3" t="s">
        <v>76</v>
      </c>
      <c r="D22" s="4" t="s">
        <v>119</v>
      </c>
      <c r="E22" s="3" t="s">
        <v>6</v>
      </c>
      <c r="F22" s="3" t="s">
        <v>22</v>
      </c>
      <c r="G22" s="4" t="s">
        <v>23</v>
      </c>
      <c r="H22" s="4" t="s">
        <v>23</v>
      </c>
      <c r="I22" s="4" t="s">
        <v>23</v>
      </c>
    </row>
    <row r="23" ht="62" customHeight="1" spans="1:9" x14ac:dyDescent="0.25">
      <c r="A23" s="3" t="s">
        <v>123</v>
      </c>
      <c r="B23" s="4" t="s">
        <v>82</v>
      </c>
      <c r="C23" s="3" t="s">
        <v>76</v>
      </c>
      <c r="D23" s="4" t="s">
        <v>124</v>
      </c>
      <c r="E23" s="3" t="s">
        <v>6</v>
      </c>
      <c r="F23" s="3" t="s">
        <v>22</v>
      </c>
      <c r="G23" s="4" t="s">
        <v>23</v>
      </c>
      <c r="H23" s="4" t="s">
        <v>23</v>
      </c>
      <c r="I23" s="4" t="s">
        <v>23</v>
      </c>
    </row>
    <row r="24" ht="48" customHeight="1" spans="1:9" x14ac:dyDescent="0.25">
      <c r="A24" s="3" t="s">
        <v>141</v>
      </c>
      <c r="B24" s="4" t="s">
        <v>82</v>
      </c>
      <c r="C24" s="3" t="s">
        <v>32</v>
      </c>
      <c r="D24" s="4" t="s">
        <v>143</v>
      </c>
      <c r="E24" s="3" t="s">
        <v>6</v>
      </c>
      <c r="F24" s="3" t="s">
        <v>22</v>
      </c>
      <c r="G24" s="4" t="s">
        <v>23</v>
      </c>
      <c r="H24" s="4" t="s">
        <v>23</v>
      </c>
      <c r="I24" s="4" t="s">
        <v>23</v>
      </c>
    </row>
    <row r="25" ht="48" customHeight="1" spans="1:9" x14ac:dyDescent="0.25">
      <c r="A25" s="3" t="s">
        <v>145</v>
      </c>
      <c r="B25" s="4" t="s">
        <v>82</v>
      </c>
      <c r="C25" s="3" t="s">
        <v>111</v>
      </c>
      <c r="D25" s="4" t="s">
        <v>146</v>
      </c>
      <c r="E25" s="3" t="s">
        <v>6</v>
      </c>
      <c r="F25" s="3" t="s">
        <v>22</v>
      </c>
      <c r="G25" s="4" t="s">
        <v>23</v>
      </c>
      <c r="H25" s="4" t="s">
        <v>23</v>
      </c>
      <c r="I25" s="4" t="s">
        <v>23</v>
      </c>
    </row>
    <row r="26" ht="62" customHeight="1" spans="1:9" x14ac:dyDescent="0.25">
      <c r="A26" s="3" t="s">
        <v>149</v>
      </c>
      <c r="B26" s="4" t="s">
        <v>150</v>
      </c>
      <c r="C26" s="3" t="s">
        <v>76</v>
      </c>
      <c r="D26" s="4" t="s">
        <v>152</v>
      </c>
      <c r="E26" s="3" t="s">
        <v>6</v>
      </c>
      <c r="F26" s="3" t="s">
        <v>22</v>
      </c>
      <c r="G26" s="4" t="s">
        <v>23</v>
      </c>
      <c r="H26" s="4" t="s">
        <v>23</v>
      </c>
      <c r="I26" s="4" t="s">
        <v>23</v>
      </c>
    </row>
    <row r="27" ht="48" customHeight="1" spans="1:9" x14ac:dyDescent="0.25">
      <c r="A27" s="3" t="s">
        <v>153</v>
      </c>
      <c r="B27" s="4" t="s">
        <v>150</v>
      </c>
      <c r="C27" s="3" t="s">
        <v>76</v>
      </c>
      <c r="D27" s="4" t="s">
        <v>154</v>
      </c>
      <c r="E27" s="3" t="s">
        <v>6</v>
      </c>
      <c r="F27" s="3" t="s">
        <v>22</v>
      </c>
      <c r="G27" s="4" t="s">
        <v>23</v>
      </c>
      <c r="H27" s="4" t="s">
        <v>23</v>
      </c>
      <c r="I27" s="4" t="s">
        <v>23</v>
      </c>
    </row>
    <row r="28" ht="62" customHeight="1" spans="1:9" x14ac:dyDescent="0.25">
      <c r="A28" s="3" t="s">
        <v>155</v>
      </c>
      <c r="B28" s="4" t="s">
        <v>150</v>
      </c>
      <c r="C28" s="3" t="s">
        <v>76</v>
      </c>
      <c r="D28" s="4" t="s">
        <v>156</v>
      </c>
      <c r="E28" s="3" t="s">
        <v>6</v>
      </c>
      <c r="F28" s="3" t="s">
        <v>22</v>
      </c>
      <c r="G28" s="4" t="s">
        <v>23</v>
      </c>
      <c r="H28" s="4" t="s">
        <v>23</v>
      </c>
      <c r="I28" s="4" t="s">
        <v>23</v>
      </c>
    </row>
    <row r="29" ht="90" customHeight="1" spans="1:9" x14ac:dyDescent="0.25">
      <c r="A29" s="3" t="s">
        <v>159</v>
      </c>
      <c r="B29" s="4" t="s">
        <v>150</v>
      </c>
      <c r="C29" s="3" t="s">
        <v>62</v>
      </c>
      <c r="D29" s="4" t="s">
        <v>161</v>
      </c>
      <c r="E29" s="3" t="s">
        <v>6</v>
      </c>
      <c r="F29" s="3" t="s">
        <v>22</v>
      </c>
      <c r="G29" s="4" t="s">
        <v>23</v>
      </c>
      <c r="H29" s="4" t="s">
        <v>23</v>
      </c>
      <c r="I29" s="4" t="s">
        <v>23</v>
      </c>
    </row>
    <row r="30" ht="34" customHeight="1" spans="1:9" x14ac:dyDescent="0.25">
      <c r="A30" s="3" t="s">
        <v>166</v>
      </c>
      <c r="B30" s="4" t="s">
        <v>150</v>
      </c>
      <c r="C30" s="3" t="s">
        <v>62</v>
      </c>
      <c r="D30" s="4" t="s">
        <v>167</v>
      </c>
      <c r="E30" s="3" t="s">
        <v>6</v>
      </c>
      <c r="F30" s="3" t="s">
        <v>22</v>
      </c>
      <c r="G30" s="4" t="s">
        <v>23</v>
      </c>
      <c r="H30" s="4" t="s">
        <v>23</v>
      </c>
      <c r="I30" s="4" t="s">
        <v>23</v>
      </c>
    </row>
    <row r="31" ht="62" customHeight="1" spans="1:9" x14ac:dyDescent="0.25">
      <c r="A31" s="3" t="s">
        <v>175</v>
      </c>
      <c r="B31" s="4" t="s">
        <v>150</v>
      </c>
      <c r="C31" s="3" t="s">
        <v>62</v>
      </c>
      <c r="D31" s="4" t="s">
        <v>177</v>
      </c>
      <c r="E31" s="3" t="s">
        <v>6</v>
      </c>
      <c r="F31" s="3" t="s">
        <v>22</v>
      </c>
      <c r="G31" s="4" t="s">
        <v>23</v>
      </c>
      <c r="H31" s="4" t="s">
        <v>23</v>
      </c>
      <c r="I31" s="4" t="s">
        <v>23</v>
      </c>
    </row>
    <row r="32" ht="48" customHeight="1" spans="1:9" x14ac:dyDescent="0.25">
      <c r="A32" s="3" t="s">
        <v>178</v>
      </c>
      <c r="B32" s="4" t="s">
        <v>150</v>
      </c>
      <c r="C32" s="3" t="s">
        <v>62</v>
      </c>
      <c r="D32" s="4" t="s">
        <v>179</v>
      </c>
      <c r="E32" s="3" t="s">
        <v>6</v>
      </c>
      <c r="F32" s="3" t="s">
        <v>22</v>
      </c>
      <c r="G32" s="4" t="s">
        <v>23</v>
      </c>
      <c r="H32" s="4" t="s">
        <v>23</v>
      </c>
      <c r="I32" s="4" t="s">
        <v>23</v>
      </c>
    </row>
    <row r="33" ht="76" customHeight="1" spans="1:9" x14ac:dyDescent="0.25">
      <c r="A33" s="3" t="s">
        <v>180</v>
      </c>
      <c r="B33" s="4" t="s">
        <v>150</v>
      </c>
      <c r="C33" s="3" t="s">
        <v>62</v>
      </c>
      <c r="D33" s="4" t="s">
        <v>181</v>
      </c>
      <c r="E33" s="3" t="s">
        <v>6</v>
      </c>
      <c r="F33" s="3" t="s">
        <v>22</v>
      </c>
      <c r="G33" s="4" t="s">
        <v>23</v>
      </c>
      <c r="H33" s="4" t="s">
        <v>23</v>
      </c>
      <c r="I33" s="4" t="s">
        <v>23</v>
      </c>
    </row>
    <row r="34" ht="48" customHeight="1" spans="1:9" x14ac:dyDescent="0.25">
      <c r="A34" s="3" t="s">
        <v>198</v>
      </c>
      <c r="B34" s="4" t="s">
        <v>150</v>
      </c>
      <c r="C34" s="3" t="s">
        <v>62</v>
      </c>
      <c r="D34" s="4" t="s">
        <v>200</v>
      </c>
      <c r="E34" s="3" t="s">
        <v>6</v>
      </c>
      <c r="F34" s="3" t="s">
        <v>22</v>
      </c>
      <c r="G34" s="4" t="s">
        <v>23</v>
      </c>
      <c r="H34" s="4" t="s">
        <v>23</v>
      </c>
      <c r="I34" s="4" t="s">
        <v>23</v>
      </c>
    </row>
    <row r="35" ht="76" customHeight="1" spans="1:9" x14ac:dyDescent="0.25">
      <c r="A35" s="3" t="s">
        <v>212</v>
      </c>
      <c r="B35" s="4" t="s">
        <v>213</v>
      </c>
      <c r="C35" s="3" t="s">
        <v>65</v>
      </c>
      <c r="D35" s="4" t="s">
        <v>215</v>
      </c>
      <c r="E35" s="3" t="s">
        <v>6</v>
      </c>
      <c r="F35" s="3" t="s">
        <v>22</v>
      </c>
      <c r="G35" s="4" t="s">
        <v>23</v>
      </c>
      <c r="H35" s="4" t="s">
        <v>23</v>
      </c>
      <c r="I35" s="4" t="s">
        <v>23</v>
      </c>
    </row>
    <row r="36" ht="48" customHeight="1" spans="1:9" x14ac:dyDescent="0.25">
      <c r="A36" s="3" t="s">
        <v>216</v>
      </c>
      <c r="B36" s="4" t="s">
        <v>213</v>
      </c>
      <c r="C36" s="3" t="s">
        <v>65</v>
      </c>
      <c r="D36" s="4" t="s">
        <v>217</v>
      </c>
      <c r="E36" s="3" t="s">
        <v>6</v>
      </c>
      <c r="F36" s="3" t="s">
        <v>22</v>
      </c>
      <c r="G36" s="4" t="s">
        <v>23</v>
      </c>
      <c r="H36" s="4" t="s">
        <v>23</v>
      </c>
      <c r="I36" s="4" t="s">
        <v>23</v>
      </c>
    </row>
    <row r="37" ht="48" customHeight="1" spans="1:9" x14ac:dyDescent="0.25">
      <c r="A37" s="3" t="s">
        <v>228</v>
      </c>
      <c r="B37" s="4" t="s">
        <v>213</v>
      </c>
      <c r="C37" s="3" t="s">
        <v>65</v>
      </c>
      <c r="D37" s="4" t="s">
        <v>230</v>
      </c>
      <c r="E37" s="3" t="s">
        <v>6</v>
      </c>
      <c r="F37" s="3" t="s">
        <v>22</v>
      </c>
      <c r="G37" s="4" t="s">
        <v>23</v>
      </c>
      <c r="H37" s="4" t="s">
        <v>23</v>
      </c>
      <c r="I37" s="4" t="s">
        <v>23</v>
      </c>
    </row>
    <row r="38" ht="48" customHeight="1" spans="1:9" x14ac:dyDescent="0.25">
      <c r="A38" s="3" t="s">
        <v>231</v>
      </c>
      <c r="B38" s="4" t="s">
        <v>213</v>
      </c>
      <c r="C38" s="3" t="s">
        <v>232</v>
      </c>
      <c r="D38" s="4" t="s">
        <v>233</v>
      </c>
      <c r="E38" s="3" t="s">
        <v>6</v>
      </c>
      <c r="F38" s="3" t="s">
        <v>22</v>
      </c>
      <c r="G38" s="4" t="s">
        <v>23</v>
      </c>
      <c r="H38" s="4" t="s">
        <v>23</v>
      </c>
      <c r="I38" s="4" t="s">
        <v>23</v>
      </c>
    </row>
    <row r="39" ht="48" customHeight="1" spans="1:9" x14ac:dyDescent="0.25">
      <c r="A39" s="3" t="s">
        <v>234</v>
      </c>
      <c r="B39" s="4" t="s">
        <v>213</v>
      </c>
      <c r="C39" s="3" t="s">
        <v>51</v>
      </c>
      <c r="D39" s="4" t="s">
        <v>235</v>
      </c>
      <c r="E39" s="3" t="s">
        <v>6</v>
      </c>
      <c r="F39" s="3" t="s">
        <v>22</v>
      </c>
      <c r="G39" s="4" t="s">
        <v>23</v>
      </c>
      <c r="H39" s="4" t="s">
        <v>23</v>
      </c>
      <c r="I39" s="4" t="s">
        <v>23</v>
      </c>
    </row>
    <row r="40" ht="76" customHeight="1" spans="1:9" x14ac:dyDescent="0.25">
      <c r="A40" s="3" t="s">
        <v>238</v>
      </c>
      <c r="B40" s="4" t="s">
        <v>213</v>
      </c>
      <c r="C40" s="3" t="s">
        <v>111</v>
      </c>
      <c r="D40" s="4" t="s">
        <v>239</v>
      </c>
      <c r="E40" s="3" t="s">
        <v>6</v>
      </c>
      <c r="F40" s="3" t="s">
        <v>22</v>
      </c>
      <c r="G40" s="4" t="s">
        <v>23</v>
      </c>
      <c r="H40" s="4" t="s">
        <v>23</v>
      </c>
      <c r="I40" s="4" t="s">
        <v>23</v>
      </c>
    </row>
    <row r="41" ht="90" customHeight="1" spans="1:9" x14ac:dyDescent="0.25">
      <c r="A41" s="3" t="s">
        <v>240</v>
      </c>
      <c r="B41" s="4" t="s">
        <v>213</v>
      </c>
      <c r="C41" s="3" t="s">
        <v>65</v>
      </c>
      <c r="D41" s="4" t="s">
        <v>242</v>
      </c>
      <c r="E41" s="3" t="s">
        <v>6</v>
      </c>
      <c r="F41" s="3" t="s">
        <v>22</v>
      </c>
      <c r="G41" s="4" t="s">
        <v>23</v>
      </c>
      <c r="H41" s="4" t="s">
        <v>23</v>
      </c>
      <c r="I41" s="4" t="s">
        <v>23</v>
      </c>
    </row>
    <row r="42" ht="48" customHeight="1" spans="1:9" x14ac:dyDescent="0.25">
      <c r="A42" s="3" t="s">
        <v>247</v>
      </c>
      <c r="B42" s="4" t="s">
        <v>213</v>
      </c>
      <c r="C42" s="3" t="s">
        <v>65</v>
      </c>
      <c r="D42" s="4" t="s">
        <v>249</v>
      </c>
      <c r="E42" s="3" t="s">
        <v>6</v>
      </c>
      <c r="F42" s="3" t="s">
        <v>22</v>
      </c>
      <c r="G42" s="4" t="s">
        <v>23</v>
      </c>
      <c r="H42" s="4" t="s">
        <v>23</v>
      </c>
      <c r="I42" s="4" t="s">
        <v>23</v>
      </c>
    </row>
    <row r="43" ht="62" customHeight="1" spans="1:9" x14ac:dyDescent="0.25">
      <c r="A43" s="3" t="s">
        <v>251</v>
      </c>
      <c r="B43" s="4" t="s">
        <v>213</v>
      </c>
      <c r="C43" s="3" t="s">
        <v>65</v>
      </c>
      <c r="D43" s="4" t="s">
        <v>252</v>
      </c>
      <c r="E43" s="3" t="s">
        <v>6</v>
      </c>
      <c r="F43" s="3" t="s">
        <v>22</v>
      </c>
      <c r="G43" s="4" t="s">
        <v>23</v>
      </c>
      <c r="H43" s="4" t="s">
        <v>23</v>
      </c>
      <c r="I43" s="4" t="s">
        <v>23</v>
      </c>
    </row>
    <row r="44" ht="76" customHeight="1" spans="1:9" x14ac:dyDescent="0.25">
      <c r="A44" s="3" t="s">
        <v>267</v>
      </c>
      <c r="B44" s="4" t="s">
        <v>213</v>
      </c>
      <c r="C44" s="3" t="s">
        <v>51</v>
      </c>
      <c r="D44" s="4" t="s">
        <v>268</v>
      </c>
      <c r="E44" s="3" t="s">
        <v>6</v>
      </c>
      <c r="F44" s="3" t="s">
        <v>22</v>
      </c>
      <c r="G44" s="4" t="s">
        <v>23</v>
      </c>
      <c r="H44" s="4" t="s">
        <v>23</v>
      </c>
      <c r="I44" s="4" t="s">
        <v>23</v>
      </c>
    </row>
    <row r="45" ht="48" customHeight="1" spans="1:9" x14ac:dyDescent="0.25">
      <c r="A45" s="3" t="s">
        <v>276</v>
      </c>
      <c r="B45" s="4" t="s">
        <v>213</v>
      </c>
      <c r="C45" s="3" t="s">
        <v>18</v>
      </c>
      <c r="D45" s="4" t="s">
        <v>277</v>
      </c>
      <c r="E45" s="3" t="s">
        <v>6</v>
      </c>
      <c r="F45" s="3" t="s">
        <v>22</v>
      </c>
      <c r="G45" s="4" t="s">
        <v>23</v>
      </c>
      <c r="H45" s="4" t="s">
        <v>23</v>
      </c>
      <c r="I45" s="4" t="s">
        <v>23</v>
      </c>
    </row>
    <row r="46" ht="48" customHeight="1" spans="1:9" x14ac:dyDescent="0.25">
      <c r="A46" s="3" t="s">
        <v>278</v>
      </c>
      <c r="B46" s="4" t="s">
        <v>213</v>
      </c>
      <c r="C46" s="3" t="s">
        <v>65</v>
      </c>
      <c r="D46" s="4" t="s">
        <v>280</v>
      </c>
      <c r="E46" s="3" t="s">
        <v>6</v>
      </c>
      <c r="F46" s="3" t="s">
        <v>22</v>
      </c>
      <c r="G46" s="4" t="s">
        <v>23</v>
      </c>
      <c r="H46" s="4" t="s">
        <v>23</v>
      </c>
      <c r="I46" s="4" t="s">
        <v>23</v>
      </c>
    </row>
    <row r="47" ht="48" customHeight="1" spans="1:9" x14ac:dyDescent="0.25">
      <c r="A47" s="3" t="s">
        <v>281</v>
      </c>
      <c r="B47" s="4" t="s">
        <v>213</v>
      </c>
      <c r="C47" s="3" t="s">
        <v>65</v>
      </c>
      <c r="D47" s="4" t="s">
        <v>282</v>
      </c>
      <c r="E47" s="3" t="s">
        <v>6</v>
      </c>
      <c r="F47" s="3" t="s">
        <v>22</v>
      </c>
      <c r="G47" s="4" t="s">
        <v>23</v>
      </c>
      <c r="H47" s="4" t="s">
        <v>23</v>
      </c>
      <c r="I47" s="4" t="s">
        <v>23</v>
      </c>
    </row>
    <row r="48" ht="48" customHeight="1" spans="1:9" x14ac:dyDescent="0.25">
      <c r="A48" s="3" t="s">
        <v>283</v>
      </c>
      <c r="B48" s="4" t="s">
        <v>213</v>
      </c>
      <c r="C48" s="3" t="s">
        <v>65</v>
      </c>
      <c r="D48" s="4" t="s">
        <v>284</v>
      </c>
      <c r="E48" s="3" t="s">
        <v>6</v>
      </c>
      <c r="F48" s="3" t="s">
        <v>22</v>
      </c>
      <c r="G48" s="4" t="s">
        <v>23</v>
      </c>
      <c r="H48" s="4" t="s">
        <v>23</v>
      </c>
      <c r="I48" s="4" t="s">
        <v>23</v>
      </c>
    </row>
    <row r="49" ht="62" customHeight="1" spans="1:9" x14ac:dyDescent="0.25">
      <c r="A49" s="3" t="s">
        <v>289</v>
      </c>
      <c r="B49" s="4" t="s">
        <v>290</v>
      </c>
      <c r="C49" s="3" t="s">
        <v>232</v>
      </c>
      <c r="D49" s="4" t="s">
        <v>292</v>
      </c>
      <c r="E49" s="3" t="s">
        <v>6</v>
      </c>
      <c r="F49" s="3" t="s">
        <v>22</v>
      </c>
      <c r="G49" s="4" t="s">
        <v>23</v>
      </c>
      <c r="H49" s="4" t="s">
        <v>23</v>
      </c>
      <c r="I49" s="4" t="s">
        <v>23</v>
      </c>
    </row>
    <row r="50" ht="48" customHeight="1" spans="1:9" x14ac:dyDescent="0.25">
      <c r="A50" s="3" t="s">
        <v>294</v>
      </c>
      <c r="B50" s="4" t="s">
        <v>290</v>
      </c>
      <c r="C50" s="3" t="s">
        <v>232</v>
      </c>
      <c r="D50" s="4" t="s">
        <v>295</v>
      </c>
      <c r="E50" s="3" t="s">
        <v>6</v>
      </c>
      <c r="F50" s="3" t="s">
        <v>22</v>
      </c>
      <c r="G50" s="4" t="s">
        <v>23</v>
      </c>
      <c r="H50" s="4" t="s">
        <v>23</v>
      </c>
      <c r="I50" s="4" t="s">
        <v>23</v>
      </c>
    </row>
    <row r="51" ht="48" customHeight="1" spans="1:9" x14ac:dyDescent="0.25">
      <c r="A51" s="3" t="s">
        <v>300</v>
      </c>
      <c r="B51" s="4" t="s">
        <v>290</v>
      </c>
      <c r="C51" s="3" t="s">
        <v>232</v>
      </c>
      <c r="D51" s="4" t="s">
        <v>302</v>
      </c>
      <c r="E51" s="3" t="s">
        <v>6</v>
      </c>
      <c r="F51" s="3" t="s">
        <v>22</v>
      </c>
      <c r="G51" s="4" t="s">
        <v>23</v>
      </c>
      <c r="H51" s="4" t="s">
        <v>23</v>
      </c>
      <c r="I51" s="4" t="s">
        <v>23</v>
      </c>
    </row>
    <row r="52" ht="90" customHeight="1" spans="1:9" x14ac:dyDescent="0.25">
      <c r="A52" s="3" t="s">
        <v>304</v>
      </c>
      <c r="B52" s="4" t="s">
        <v>290</v>
      </c>
      <c r="C52" s="3" t="s">
        <v>18</v>
      </c>
      <c r="D52" s="4" t="s">
        <v>305</v>
      </c>
      <c r="E52" s="3" t="s">
        <v>6</v>
      </c>
      <c r="F52" s="3" t="s">
        <v>22</v>
      </c>
      <c r="G52" s="4" t="s">
        <v>23</v>
      </c>
      <c r="H52" s="4" t="s">
        <v>23</v>
      </c>
      <c r="I52" s="4" t="s">
        <v>23</v>
      </c>
    </row>
    <row r="53" ht="48" customHeight="1" spans="1:9" x14ac:dyDescent="0.25">
      <c r="A53" s="3" t="s">
        <v>310</v>
      </c>
      <c r="B53" s="4" t="s">
        <v>290</v>
      </c>
      <c r="C53" s="3" t="s">
        <v>232</v>
      </c>
      <c r="D53" s="4" t="s">
        <v>312</v>
      </c>
      <c r="E53" s="3" t="s">
        <v>6</v>
      </c>
      <c r="F53" s="3" t="s">
        <v>22</v>
      </c>
      <c r="G53" s="4" t="s">
        <v>23</v>
      </c>
      <c r="H53" s="4" t="s">
        <v>23</v>
      </c>
      <c r="I53" s="4" t="s">
        <v>23</v>
      </c>
    </row>
    <row r="54" ht="62" customHeight="1" spans="1:9" x14ac:dyDescent="0.25">
      <c r="A54" s="3" t="s">
        <v>314</v>
      </c>
      <c r="B54" s="4" t="s">
        <v>290</v>
      </c>
      <c r="C54" s="3" t="s">
        <v>62</v>
      </c>
      <c r="D54" s="4" t="s">
        <v>315</v>
      </c>
      <c r="E54" s="3" t="s">
        <v>6</v>
      </c>
      <c r="F54" s="3" t="s">
        <v>22</v>
      </c>
      <c r="G54" s="4" t="s">
        <v>23</v>
      </c>
      <c r="H54" s="4" t="s">
        <v>23</v>
      </c>
      <c r="I54" s="4" t="s">
        <v>23</v>
      </c>
    </row>
    <row r="55" ht="90" customHeight="1" spans="1:9" x14ac:dyDescent="0.25">
      <c r="A55" s="3" t="s">
        <v>320</v>
      </c>
      <c r="B55" s="4" t="s">
        <v>290</v>
      </c>
      <c r="C55" s="3" t="s">
        <v>62</v>
      </c>
      <c r="D55" s="4" t="s">
        <v>321</v>
      </c>
      <c r="E55" s="3" t="s">
        <v>6</v>
      </c>
      <c r="F55" s="3" t="s">
        <v>22</v>
      </c>
      <c r="G55" s="4" t="s">
        <v>23</v>
      </c>
      <c r="H55" s="4" t="s">
        <v>23</v>
      </c>
      <c r="I55" s="4" t="s">
        <v>23</v>
      </c>
    </row>
    <row r="56" ht="48" customHeight="1" spans="1:9" x14ac:dyDescent="0.25">
      <c r="A56" s="3" t="s">
        <v>322</v>
      </c>
      <c r="B56" s="4" t="s">
        <v>290</v>
      </c>
      <c r="C56" s="3" t="s">
        <v>232</v>
      </c>
      <c r="D56" s="4" t="s">
        <v>324</v>
      </c>
      <c r="E56" s="3" t="s">
        <v>6</v>
      </c>
      <c r="F56" s="3" t="s">
        <v>22</v>
      </c>
      <c r="G56" s="4" t="s">
        <v>23</v>
      </c>
      <c r="H56" s="4" t="s">
        <v>23</v>
      </c>
      <c r="I56" s="4" t="s">
        <v>23</v>
      </c>
    </row>
    <row r="57" ht="62" customHeight="1" spans="1:9" x14ac:dyDescent="0.25">
      <c r="A57" s="3" t="s">
        <v>326</v>
      </c>
      <c r="B57" s="4" t="s">
        <v>290</v>
      </c>
      <c r="C57" s="3" t="s">
        <v>232</v>
      </c>
      <c r="D57" s="4" t="s">
        <v>327</v>
      </c>
      <c r="E57" s="3" t="s">
        <v>6</v>
      </c>
      <c r="F57" s="3" t="s">
        <v>22</v>
      </c>
      <c r="G57" s="4" t="s">
        <v>23</v>
      </c>
      <c r="H57" s="4" t="s">
        <v>23</v>
      </c>
      <c r="I57" s="4" t="s">
        <v>23</v>
      </c>
    </row>
    <row r="58" ht="90" customHeight="1" spans="1:9" x14ac:dyDescent="0.25">
      <c r="A58" s="3" t="s">
        <v>328</v>
      </c>
      <c r="B58" s="4" t="s">
        <v>290</v>
      </c>
      <c r="C58" s="3" t="s">
        <v>62</v>
      </c>
      <c r="D58" s="4" t="s">
        <v>329</v>
      </c>
      <c r="E58" s="3" t="s">
        <v>6</v>
      </c>
      <c r="F58" s="3" t="s">
        <v>22</v>
      </c>
      <c r="G58" s="4" t="s">
        <v>23</v>
      </c>
      <c r="H58" s="4" t="s">
        <v>23</v>
      </c>
      <c r="I58" s="4" t="s">
        <v>23</v>
      </c>
    </row>
    <row r="59" ht="48" customHeight="1" spans="1:9" x14ac:dyDescent="0.25">
      <c r="A59" s="3" t="s">
        <v>330</v>
      </c>
      <c r="B59" s="4" t="s">
        <v>290</v>
      </c>
      <c r="C59" s="3" t="s">
        <v>65</v>
      </c>
      <c r="D59" s="4" t="s">
        <v>331</v>
      </c>
      <c r="E59" s="3" t="s">
        <v>6</v>
      </c>
      <c r="F59" s="3" t="s">
        <v>22</v>
      </c>
      <c r="G59" s="4" t="s">
        <v>23</v>
      </c>
      <c r="H59" s="4" t="s">
        <v>23</v>
      </c>
      <c r="I59" s="4" t="s">
        <v>23</v>
      </c>
    </row>
    <row r="60" ht="34" customHeight="1" spans="1:9" x14ac:dyDescent="0.25">
      <c r="A60" s="3" t="s">
        <v>332</v>
      </c>
      <c r="B60" s="4" t="s">
        <v>290</v>
      </c>
      <c r="C60" s="3" t="s">
        <v>62</v>
      </c>
      <c r="D60" s="4" t="s">
        <v>334</v>
      </c>
      <c r="E60" s="3" t="s">
        <v>6</v>
      </c>
      <c r="F60" s="3" t="s">
        <v>22</v>
      </c>
      <c r="G60" s="4" t="s">
        <v>23</v>
      </c>
      <c r="H60" s="4" t="s">
        <v>23</v>
      </c>
      <c r="I60" s="4" t="s">
        <v>23</v>
      </c>
    </row>
    <row r="61" ht="48" customHeight="1" spans="1:9" x14ac:dyDescent="0.25">
      <c r="A61" s="3" t="s">
        <v>335</v>
      </c>
      <c r="B61" s="4" t="s">
        <v>290</v>
      </c>
      <c r="C61" s="3" t="s">
        <v>62</v>
      </c>
      <c r="D61" s="4" t="s">
        <v>336</v>
      </c>
      <c r="E61" s="3" t="s">
        <v>6</v>
      </c>
      <c r="F61" s="3" t="s">
        <v>22</v>
      </c>
      <c r="G61" s="4" t="s">
        <v>23</v>
      </c>
      <c r="H61" s="4" t="s">
        <v>23</v>
      </c>
      <c r="I61" s="4" t="s">
        <v>23</v>
      </c>
    </row>
    <row r="62" ht="62" customHeight="1" spans="1:9" x14ac:dyDescent="0.25">
      <c r="A62" s="3" t="s">
        <v>339</v>
      </c>
      <c r="B62" s="4" t="s">
        <v>290</v>
      </c>
      <c r="C62" s="3" t="s">
        <v>62</v>
      </c>
      <c r="D62" s="4" t="s">
        <v>340</v>
      </c>
      <c r="E62" s="3" t="s">
        <v>6</v>
      </c>
      <c r="F62" s="3" t="s">
        <v>22</v>
      </c>
      <c r="G62" s="4" t="s">
        <v>23</v>
      </c>
      <c r="H62" s="4" t="s">
        <v>23</v>
      </c>
      <c r="I62" s="4" t="s">
        <v>23</v>
      </c>
    </row>
    <row r="63" ht="48" customHeight="1" spans="1:9" x14ac:dyDescent="0.25">
      <c r="A63" s="3" t="s">
        <v>341</v>
      </c>
      <c r="B63" s="4" t="s">
        <v>290</v>
      </c>
      <c r="C63" s="3" t="s">
        <v>62</v>
      </c>
      <c r="D63" s="4" t="s">
        <v>342</v>
      </c>
      <c r="E63" s="3" t="s">
        <v>6</v>
      </c>
      <c r="F63" s="3" t="s">
        <v>22</v>
      </c>
      <c r="G63" s="4" t="s">
        <v>23</v>
      </c>
      <c r="H63" s="4" t="s">
        <v>23</v>
      </c>
      <c r="I63" s="4" t="s">
        <v>23</v>
      </c>
    </row>
    <row r="64" ht="34" customHeight="1" spans="1:9" x14ac:dyDescent="0.25">
      <c r="A64" s="3" t="s">
        <v>345</v>
      </c>
      <c r="B64" s="4" t="s">
        <v>290</v>
      </c>
      <c r="C64" s="3" t="s">
        <v>111</v>
      </c>
      <c r="D64" s="4" t="s">
        <v>347</v>
      </c>
      <c r="E64" s="3" t="s">
        <v>6</v>
      </c>
      <c r="F64" s="3" t="s">
        <v>22</v>
      </c>
      <c r="G64" s="4" t="s">
        <v>23</v>
      </c>
      <c r="H64" s="4" t="s">
        <v>23</v>
      </c>
      <c r="I64" s="4" t="s">
        <v>23</v>
      </c>
    </row>
    <row r="65" ht="76" customHeight="1" spans="1:9" x14ac:dyDescent="0.25">
      <c r="A65" s="3" t="s">
        <v>355</v>
      </c>
      <c r="B65" s="4" t="s">
        <v>356</v>
      </c>
      <c r="C65" s="3" t="s">
        <v>62</v>
      </c>
      <c r="D65" s="4" t="s">
        <v>358</v>
      </c>
      <c r="E65" s="3" t="s">
        <v>6</v>
      </c>
      <c r="F65" s="3" t="s">
        <v>22</v>
      </c>
      <c r="G65" s="4" t="s">
        <v>23</v>
      </c>
      <c r="H65" s="4" t="s">
        <v>23</v>
      </c>
      <c r="I65" s="4" t="s">
        <v>23</v>
      </c>
    </row>
    <row r="66" ht="48" customHeight="1" spans="1:9" x14ac:dyDescent="0.25">
      <c r="A66" s="3" t="s">
        <v>363</v>
      </c>
      <c r="B66" s="4" t="s">
        <v>356</v>
      </c>
      <c r="C66" s="3" t="s">
        <v>62</v>
      </c>
      <c r="D66" s="4" t="s">
        <v>365</v>
      </c>
      <c r="E66" s="3" t="s">
        <v>6</v>
      </c>
      <c r="F66" s="3" t="s">
        <v>22</v>
      </c>
      <c r="G66" s="4" t="s">
        <v>23</v>
      </c>
      <c r="H66" s="4" t="s">
        <v>23</v>
      </c>
      <c r="I66" s="4" t="s">
        <v>23</v>
      </c>
    </row>
    <row r="67" ht="34" customHeight="1" spans="1:9" x14ac:dyDescent="0.25">
      <c r="A67" s="3" t="s">
        <v>372</v>
      </c>
      <c r="B67" s="4" t="s">
        <v>356</v>
      </c>
      <c r="C67" s="3" t="s">
        <v>111</v>
      </c>
      <c r="D67" s="4" t="s">
        <v>374</v>
      </c>
      <c r="E67" s="3" t="s">
        <v>6</v>
      </c>
      <c r="F67" s="3" t="s">
        <v>22</v>
      </c>
      <c r="G67" s="4" t="s">
        <v>23</v>
      </c>
      <c r="H67" s="4" t="s">
        <v>23</v>
      </c>
      <c r="I67" s="4" t="s">
        <v>23</v>
      </c>
    </row>
    <row r="68" ht="48" customHeight="1" spans="1:9" x14ac:dyDescent="0.25">
      <c r="A68" s="3" t="s">
        <v>375</v>
      </c>
      <c r="B68" s="4" t="s">
        <v>356</v>
      </c>
      <c r="C68" s="3" t="s">
        <v>111</v>
      </c>
      <c r="D68" s="4" t="s">
        <v>376</v>
      </c>
      <c r="E68" s="3" t="s">
        <v>6</v>
      </c>
      <c r="F68" s="3" t="s">
        <v>22</v>
      </c>
      <c r="G68" s="4" t="s">
        <v>23</v>
      </c>
      <c r="H68" s="4" t="s">
        <v>23</v>
      </c>
      <c r="I68" s="4" t="s">
        <v>23</v>
      </c>
    </row>
    <row r="69" ht="48" customHeight="1" spans="1:9" x14ac:dyDescent="0.25">
      <c r="A69" s="3" t="s">
        <v>387</v>
      </c>
      <c r="B69" s="4" t="s">
        <v>388</v>
      </c>
      <c r="C69" s="3" t="s">
        <v>32</v>
      </c>
      <c r="D69" s="4" t="s">
        <v>390</v>
      </c>
      <c r="E69" s="3" t="s">
        <v>6</v>
      </c>
      <c r="F69" s="3" t="s">
        <v>22</v>
      </c>
      <c r="G69" s="4" t="s">
        <v>23</v>
      </c>
      <c r="H69" s="4" t="s">
        <v>23</v>
      </c>
      <c r="I69" s="4" t="s">
        <v>23</v>
      </c>
    </row>
    <row r="70" ht="62" customHeight="1" spans="1:9" x14ac:dyDescent="0.25">
      <c r="A70" s="3" t="s">
        <v>392</v>
      </c>
      <c r="B70" s="4" t="s">
        <v>388</v>
      </c>
      <c r="C70" s="3" t="s">
        <v>32</v>
      </c>
      <c r="D70" s="4" t="s">
        <v>393</v>
      </c>
      <c r="E70" s="3" t="s">
        <v>6</v>
      </c>
      <c r="F70" s="3" t="s">
        <v>22</v>
      </c>
      <c r="G70" s="4" t="s">
        <v>23</v>
      </c>
      <c r="H70" s="4" t="s">
        <v>23</v>
      </c>
      <c r="I70" s="4" t="s">
        <v>23</v>
      </c>
    </row>
    <row r="71" ht="34" customHeight="1" spans="1:9" x14ac:dyDescent="0.25">
      <c r="A71" s="3" t="s">
        <v>398</v>
      </c>
      <c r="B71" s="4" t="s">
        <v>388</v>
      </c>
      <c r="C71" s="3" t="s">
        <v>62</v>
      </c>
      <c r="D71" s="4" t="s">
        <v>400</v>
      </c>
      <c r="E71" s="3" t="s">
        <v>6</v>
      </c>
      <c r="F71" s="3" t="s">
        <v>22</v>
      </c>
      <c r="G71" s="4" t="s">
        <v>23</v>
      </c>
      <c r="H71" s="4" t="s">
        <v>23</v>
      </c>
      <c r="I71" s="4" t="s">
        <v>23</v>
      </c>
    </row>
    <row r="72" ht="62" customHeight="1" spans="1:9" x14ac:dyDescent="0.25">
      <c r="A72" s="3" t="s">
        <v>411</v>
      </c>
      <c r="B72" s="4" t="s">
        <v>388</v>
      </c>
      <c r="C72" s="3" t="s">
        <v>32</v>
      </c>
      <c r="D72" s="4" t="s">
        <v>413</v>
      </c>
      <c r="E72" s="3" t="s">
        <v>6</v>
      </c>
      <c r="F72" s="3" t="s">
        <v>22</v>
      </c>
      <c r="G72" s="4" t="s">
        <v>23</v>
      </c>
      <c r="H72" s="4" t="s">
        <v>23</v>
      </c>
      <c r="I72" s="4" t="s">
        <v>23</v>
      </c>
    </row>
    <row r="73" ht="34" customHeight="1" spans="1:9" x14ac:dyDescent="0.25">
      <c r="A73" s="3" t="s">
        <v>414</v>
      </c>
      <c r="B73" s="4" t="s">
        <v>388</v>
      </c>
      <c r="C73" s="3" t="s">
        <v>32</v>
      </c>
      <c r="D73" s="4" t="s">
        <v>415</v>
      </c>
      <c r="E73" s="3" t="s">
        <v>6</v>
      </c>
      <c r="F73" s="3" t="s">
        <v>22</v>
      </c>
      <c r="G73" s="4" t="s">
        <v>23</v>
      </c>
      <c r="H73" s="4" t="s">
        <v>23</v>
      </c>
      <c r="I73" s="4" t="s">
        <v>23</v>
      </c>
    </row>
    <row r="74" ht="48" customHeight="1" spans="1:9" x14ac:dyDescent="0.25">
      <c r="A74" s="3" t="s">
        <v>425</v>
      </c>
      <c r="B74" s="4" t="s">
        <v>388</v>
      </c>
      <c r="C74" s="3" t="s">
        <v>65</v>
      </c>
      <c r="D74" s="4" t="s">
        <v>426</v>
      </c>
      <c r="E74" s="3" t="s">
        <v>6</v>
      </c>
      <c r="F74" s="3" t="s">
        <v>22</v>
      </c>
      <c r="G74" s="4" t="s">
        <v>23</v>
      </c>
      <c r="H74" s="4" t="s">
        <v>23</v>
      </c>
      <c r="I74" s="4" t="s">
        <v>23</v>
      </c>
    </row>
    <row r="75" ht="62" customHeight="1" spans="1:9" x14ac:dyDescent="0.25">
      <c r="A75" s="3" t="s">
        <v>435</v>
      </c>
      <c r="B75" s="4" t="s">
        <v>436</v>
      </c>
      <c r="C75" s="3" t="s">
        <v>403</v>
      </c>
      <c r="D75" s="4" t="s">
        <v>438</v>
      </c>
      <c r="E75" s="3" t="s">
        <v>6</v>
      </c>
      <c r="F75" s="3" t="s">
        <v>22</v>
      </c>
      <c r="G75" s="4" t="s">
        <v>23</v>
      </c>
      <c r="H75" s="4" t="s">
        <v>23</v>
      </c>
      <c r="I75" s="4" t="s">
        <v>23</v>
      </c>
    </row>
    <row r="76" ht="48" customHeight="1" spans="1:9" x14ac:dyDescent="0.25">
      <c r="A76" s="3" t="s">
        <v>440</v>
      </c>
      <c r="B76" s="4" t="s">
        <v>436</v>
      </c>
      <c r="C76" s="3" t="s">
        <v>403</v>
      </c>
      <c r="D76" s="4" t="s">
        <v>441</v>
      </c>
      <c r="E76" s="3" t="s">
        <v>6</v>
      </c>
      <c r="F76" s="3" t="s">
        <v>22</v>
      </c>
      <c r="G76" s="4" t="s">
        <v>23</v>
      </c>
      <c r="H76" s="4" t="s">
        <v>23</v>
      </c>
      <c r="I76" s="4" t="s">
        <v>23</v>
      </c>
    </row>
    <row r="77" ht="48" customHeight="1" spans="1:9" x14ac:dyDescent="0.25">
      <c r="A77" s="3" t="s">
        <v>444</v>
      </c>
      <c r="B77" s="4" t="s">
        <v>436</v>
      </c>
      <c r="C77" s="3" t="s">
        <v>65</v>
      </c>
      <c r="D77" s="4" t="s">
        <v>446</v>
      </c>
      <c r="E77" s="3" t="s">
        <v>6</v>
      </c>
      <c r="F77" s="3" t="s">
        <v>22</v>
      </c>
      <c r="G77" s="4" t="s">
        <v>23</v>
      </c>
      <c r="H77" s="4" t="s">
        <v>23</v>
      </c>
      <c r="I77" s="4" t="s">
        <v>23</v>
      </c>
    </row>
    <row r="78" ht="48" customHeight="1" spans="1:9" x14ac:dyDescent="0.25">
      <c r="A78" s="3" t="s">
        <v>448</v>
      </c>
      <c r="B78" s="4" t="s">
        <v>436</v>
      </c>
      <c r="C78" s="3" t="s">
        <v>65</v>
      </c>
      <c r="D78" s="4" t="s">
        <v>449</v>
      </c>
      <c r="E78" s="3" t="s">
        <v>6</v>
      </c>
      <c r="F78" s="3" t="s">
        <v>22</v>
      </c>
      <c r="G78" s="4" t="s">
        <v>23</v>
      </c>
      <c r="H78" s="4" t="s">
        <v>23</v>
      </c>
      <c r="I78" s="4" t="s">
        <v>23</v>
      </c>
    </row>
    <row r="79" ht="48" customHeight="1" spans="1:9" x14ac:dyDescent="0.25">
      <c r="A79" s="3" t="s">
        <v>456</v>
      </c>
      <c r="B79" s="4" t="s">
        <v>436</v>
      </c>
      <c r="C79" s="3" t="s">
        <v>403</v>
      </c>
      <c r="D79" s="4" t="s">
        <v>457</v>
      </c>
      <c r="E79" s="3" t="s">
        <v>6</v>
      </c>
      <c r="F79" s="3" t="s">
        <v>22</v>
      </c>
      <c r="G79" s="4" t="s">
        <v>23</v>
      </c>
      <c r="H79" s="4" t="s">
        <v>23</v>
      </c>
      <c r="I79" s="4" t="s">
        <v>23</v>
      </c>
    </row>
    <row r="80" ht="34" customHeight="1" spans="1:9" x14ac:dyDescent="0.25">
      <c r="A80" s="3" t="s">
        <v>495</v>
      </c>
      <c r="B80" s="4" t="s">
        <v>492</v>
      </c>
      <c r="C80" s="3" t="s">
        <v>111</v>
      </c>
      <c r="D80" s="4" t="s">
        <v>496</v>
      </c>
      <c r="E80" s="3" t="s">
        <v>6</v>
      </c>
      <c r="F80" s="3" t="s">
        <v>22</v>
      </c>
      <c r="G80" s="4" t="s">
        <v>23</v>
      </c>
      <c r="H80" s="4" t="s">
        <v>23</v>
      </c>
      <c r="I80" s="4" t="s">
        <v>23</v>
      </c>
    </row>
    <row r="81" ht="48" customHeight="1" spans="1:9" x14ac:dyDescent="0.25">
      <c r="A81" s="3" t="s">
        <v>497</v>
      </c>
      <c r="B81" s="4" t="s">
        <v>492</v>
      </c>
      <c r="C81" s="3" t="s">
        <v>111</v>
      </c>
      <c r="D81" s="4" t="s">
        <v>498</v>
      </c>
      <c r="E81" s="3" t="s">
        <v>6</v>
      </c>
      <c r="F81" s="3" t="s">
        <v>22</v>
      </c>
      <c r="G81" s="4" t="s">
        <v>23</v>
      </c>
      <c r="H81" s="4" t="s">
        <v>23</v>
      </c>
      <c r="I81" s="4" t="s">
        <v>23</v>
      </c>
    </row>
    <row r="82" ht="48" customHeight="1" spans="1:9" x14ac:dyDescent="0.25">
      <c r="A82" s="3" t="s">
        <v>501</v>
      </c>
      <c r="B82" s="4" t="s">
        <v>492</v>
      </c>
      <c r="C82" s="3" t="s">
        <v>111</v>
      </c>
      <c r="D82" s="4" t="s">
        <v>503</v>
      </c>
      <c r="E82" s="3" t="s">
        <v>6</v>
      </c>
      <c r="F82" s="3" t="s">
        <v>22</v>
      </c>
      <c r="G82" s="4" t="s">
        <v>23</v>
      </c>
      <c r="H82" s="4" t="s">
        <v>23</v>
      </c>
      <c r="I82" s="4" t="s">
        <v>23</v>
      </c>
    </row>
    <row r="83" ht="76" customHeight="1" spans="1:9" x14ac:dyDescent="0.25">
      <c r="A83" s="3" t="s">
        <v>517</v>
      </c>
      <c r="B83" s="4" t="s">
        <v>492</v>
      </c>
      <c r="C83" s="3" t="s">
        <v>111</v>
      </c>
      <c r="D83" s="4" t="s">
        <v>518</v>
      </c>
      <c r="E83" s="3" t="s">
        <v>6</v>
      </c>
      <c r="F83" s="3" t="s">
        <v>22</v>
      </c>
      <c r="G83" s="4" t="s">
        <v>23</v>
      </c>
      <c r="H83" s="4" t="s">
        <v>23</v>
      </c>
      <c r="I83" s="4" t="s">
        <v>23</v>
      </c>
    </row>
    <row r="84" ht="34" customHeight="1" spans="1:9" x14ac:dyDescent="0.25">
      <c r="A84" s="3" t="s">
        <v>535</v>
      </c>
      <c r="B84" s="4" t="s">
        <v>492</v>
      </c>
      <c r="C84" s="3" t="s">
        <v>111</v>
      </c>
      <c r="D84" s="4" t="s">
        <v>537</v>
      </c>
      <c r="E84" s="3" t="s">
        <v>6</v>
      </c>
      <c r="F84" s="3" t="s">
        <v>22</v>
      </c>
      <c r="G84" s="4" t="s">
        <v>23</v>
      </c>
      <c r="H84" s="4" t="s">
        <v>23</v>
      </c>
      <c r="I84" s="4" t="s">
        <v>23</v>
      </c>
    </row>
    <row r="85" ht="34" customHeight="1" spans="1:9" x14ac:dyDescent="0.25">
      <c r="A85" s="3" t="s">
        <v>538</v>
      </c>
      <c r="B85" s="4" t="s">
        <v>492</v>
      </c>
      <c r="C85" s="3" t="s">
        <v>76</v>
      </c>
      <c r="D85" s="4" t="s">
        <v>539</v>
      </c>
      <c r="E85" s="3" t="s">
        <v>6</v>
      </c>
      <c r="F85" s="3" t="s">
        <v>22</v>
      </c>
      <c r="G85" s="4" t="s">
        <v>23</v>
      </c>
      <c r="H85" s="4" t="s">
        <v>23</v>
      </c>
      <c r="I85" s="4" t="s">
        <v>23</v>
      </c>
    </row>
    <row r="86" ht="48" customHeight="1" spans="1:9" x14ac:dyDescent="0.25">
      <c r="A86" s="3" t="s">
        <v>540</v>
      </c>
      <c r="B86" s="4" t="s">
        <v>492</v>
      </c>
      <c r="C86" s="3" t="s">
        <v>111</v>
      </c>
      <c r="D86" s="4" t="s">
        <v>541</v>
      </c>
      <c r="E86" s="3" t="s">
        <v>6</v>
      </c>
      <c r="F86" s="3" t="s">
        <v>22</v>
      </c>
      <c r="G86" s="4" t="s">
        <v>23</v>
      </c>
      <c r="H86" s="4" t="s">
        <v>23</v>
      </c>
      <c r="I86" s="4" t="s">
        <v>23</v>
      </c>
    </row>
    <row r="87" ht="48" customHeight="1" spans="1:9" x14ac:dyDescent="0.25">
      <c r="A87" s="3" t="s">
        <v>542</v>
      </c>
      <c r="B87" s="4" t="s">
        <v>492</v>
      </c>
      <c r="C87" s="3" t="s">
        <v>111</v>
      </c>
      <c r="D87" s="4" t="s">
        <v>544</v>
      </c>
      <c r="E87" s="3" t="s">
        <v>6</v>
      </c>
      <c r="F87" s="3" t="s">
        <v>22</v>
      </c>
      <c r="G87" s="4" t="s">
        <v>23</v>
      </c>
      <c r="H87" s="4" t="s">
        <v>23</v>
      </c>
      <c r="I87" s="4" t="s">
        <v>23</v>
      </c>
    </row>
    <row r="88" ht="48" customHeight="1" spans="1:9" x14ac:dyDescent="0.25">
      <c r="A88" s="3" t="s">
        <v>545</v>
      </c>
      <c r="B88" s="4" t="s">
        <v>492</v>
      </c>
      <c r="C88" s="3" t="s">
        <v>79</v>
      </c>
      <c r="D88" s="4" t="s">
        <v>546</v>
      </c>
      <c r="E88" s="3" t="s">
        <v>6</v>
      </c>
      <c r="F88" s="3" t="s">
        <v>22</v>
      </c>
      <c r="G88" s="4" t="s">
        <v>23</v>
      </c>
      <c r="H88" s="4" t="s">
        <v>23</v>
      </c>
      <c r="I88" s="4" t="s">
        <v>23</v>
      </c>
    </row>
    <row r="89" ht="62" customHeight="1" spans="1:9" x14ac:dyDescent="0.25">
      <c r="A89" s="3" t="s">
        <v>551</v>
      </c>
      <c r="B89" s="4" t="s">
        <v>552</v>
      </c>
      <c r="C89" s="3" t="s">
        <v>79</v>
      </c>
      <c r="D89" s="4" t="s">
        <v>554</v>
      </c>
      <c r="E89" s="3" t="s">
        <v>6</v>
      </c>
      <c r="F89" s="3" t="s">
        <v>22</v>
      </c>
      <c r="G89" s="4" t="s">
        <v>23</v>
      </c>
      <c r="H89" s="4" t="s">
        <v>23</v>
      </c>
      <c r="I89" s="4" t="s">
        <v>23</v>
      </c>
    </row>
    <row r="90" ht="48" customHeight="1" spans="1:9" x14ac:dyDescent="0.25">
      <c r="A90" s="3" t="s">
        <v>555</v>
      </c>
      <c r="B90" s="4" t="s">
        <v>552</v>
      </c>
      <c r="C90" s="3" t="s">
        <v>79</v>
      </c>
      <c r="D90" s="4" t="s">
        <v>556</v>
      </c>
      <c r="E90" s="3" t="s">
        <v>6</v>
      </c>
      <c r="F90" s="3" t="s">
        <v>22</v>
      </c>
      <c r="G90" s="4" t="s">
        <v>23</v>
      </c>
      <c r="H90" s="4" t="s">
        <v>23</v>
      </c>
      <c r="I90" s="4" t="s">
        <v>23</v>
      </c>
    </row>
    <row r="91" ht="48" customHeight="1" spans="1:9" x14ac:dyDescent="0.25">
      <c r="A91" s="3" t="s">
        <v>565</v>
      </c>
      <c r="B91" s="4" t="s">
        <v>552</v>
      </c>
      <c r="C91" s="3" t="s">
        <v>79</v>
      </c>
      <c r="D91" s="4" t="s">
        <v>567</v>
      </c>
      <c r="E91" s="3" t="s">
        <v>6</v>
      </c>
      <c r="F91" s="3" t="s">
        <v>22</v>
      </c>
      <c r="G91" s="4" t="s">
        <v>23</v>
      </c>
      <c r="H91" s="4" t="s">
        <v>23</v>
      </c>
      <c r="I91" s="4" t="s">
        <v>23</v>
      </c>
    </row>
    <row r="92" ht="48" customHeight="1" spans="1:9" x14ac:dyDescent="0.25">
      <c r="A92" s="3" t="s">
        <v>581</v>
      </c>
      <c r="B92" s="4" t="s">
        <v>552</v>
      </c>
      <c r="C92" s="3" t="s">
        <v>76</v>
      </c>
      <c r="D92" s="4" t="s">
        <v>583</v>
      </c>
      <c r="E92" s="3" t="s">
        <v>6</v>
      </c>
      <c r="F92" s="3" t="s">
        <v>22</v>
      </c>
      <c r="G92" s="4" t="s">
        <v>23</v>
      </c>
      <c r="H92" s="4" t="s">
        <v>23</v>
      </c>
      <c r="I92" s="4" t="s">
        <v>23</v>
      </c>
    </row>
    <row r="93" ht="76" customHeight="1" spans="1:9" x14ac:dyDescent="0.25">
      <c r="A93" s="3" t="s">
        <v>586</v>
      </c>
      <c r="B93" s="4" t="s">
        <v>552</v>
      </c>
      <c r="C93" s="3" t="s">
        <v>111</v>
      </c>
      <c r="D93" s="4" t="s">
        <v>587</v>
      </c>
      <c r="E93" s="3" t="s">
        <v>6</v>
      </c>
      <c r="F93" s="3" t="s">
        <v>22</v>
      </c>
      <c r="G93" s="4" t="s">
        <v>23</v>
      </c>
      <c r="H93" s="4" t="s">
        <v>23</v>
      </c>
      <c r="I93" s="4" t="s">
        <v>23</v>
      </c>
    </row>
    <row r="94" ht="48" customHeight="1" spans="1:9" x14ac:dyDescent="0.25">
      <c r="A94" s="3" t="s">
        <v>24</v>
      </c>
      <c r="B94" s="4" t="s">
        <v>16</v>
      </c>
      <c r="C94" s="3" t="s">
        <v>18</v>
      </c>
      <c r="D94" s="4" t="s">
        <v>25</v>
      </c>
      <c r="E94" s="3" t="s">
        <v>7</v>
      </c>
      <c r="F94" s="3" t="s">
        <v>22</v>
      </c>
      <c r="G94" s="4" t="s">
        <v>23</v>
      </c>
      <c r="H94" s="4" t="s">
        <v>23</v>
      </c>
      <c r="I94" s="4" t="s">
        <v>23</v>
      </c>
    </row>
    <row r="95" ht="48" customHeight="1" spans="1:9" x14ac:dyDescent="0.25">
      <c r="A95" s="3" t="s">
        <v>26</v>
      </c>
      <c r="B95" s="4" t="s">
        <v>16</v>
      </c>
      <c r="C95" s="3" t="s">
        <v>18</v>
      </c>
      <c r="D95" s="4" t="s">
        <v>27</v>
      </c>
      <c r="E95" s="3" t="s">
        <v>7</v>
      </c>
      <c r="F95" s="3" t="s">
        <v>22</v>
      </c>
      <c r="G95" s="4" t="s">
        <v>23</v>
      </c>
      <c r="H95" s="4" t="s">
        <v>23</v>
      </c>
      <c r="I95" s="4" t="s">
        <v>23</v>
      </c>
    </row>
    <row r="96" ht="34" customHeight="1" spans="1:9" x14ac:dyDescent="0.25">
      <c r="A96" s="3" t="s">
        <v>37</v>
      </c>
      <c r="B96" s="4" t="s">
        <v>16</v>
      </c>
      <c r="C96" s="3" t="s">
        <v>32</v>
      </c>
      <c r="D96" s="4" t="s">
        <v>38</v>
      </c>
      <c r="E96" s="3" t="s">
        <v>7</v>
      </c>
      <c r="F96" s="3" t="s">
        <v>22</v>
      </c>
      <c r="G96" s="4" t="s">
        <v>23</v>
      </c>
      <c r="H96" s="4" t="s">
        <v>23</v>
      </c>
      <c r="I96" s="4" t="s">
        <v>23</v>
      </c>
    </row>
    <row r="97" ht="62" customHeight="1" spans="1:9" x14ac:dyDescent="0.25">
      <c r="A97" s="3" t="s">
        <v>39</v>
      </c>
      <c r="B97" s="4" t="s">
        <v>16</v>
      </c>
      <c r="C97" s="3" t="s">
        <v>32</v>
      </c>
      <c r="D97" s="4" t="s">
        <v>40</v>
      </c>
      <c r="E97" s="3" t="s">
        <v>7</v>
      </c>
      <c r="F97" s="3" t="s">
        <v>22</v>
      </c>
      <c r="G97" s="4" t="s">
        <v>23</v>
      </c>
      <c r="H97" s="4" t="s">
        <v>23</v>
      </c>
      <c r="I97" s="4" t="s">
        <v>23</v>
      </c>
    </row>
    <row r="98" ht="48" customHeight="1" spans="1:9" x14ac:dyDescent="0.25">
      <c r="A98" s="3" t="s">
        <v>41</v>
      </c>
      <c r="B98" s="4" t="s">
        <v>16</v>
      </c>
      <c r="C98" s="3" t="s">
        <v>32</v>
      </c>
      <c r="D98" s="4" t="s">
        <v>42</v>
      </c>
      <c r="E98" s="3" t="s">
        <v>7</v>
      </c>
      <c r="F98" s="3" t="s">
        <v>22</v>
      </c>
      <c r="G98" s="4" t="s">
        <v>23</v>
      </c>
      <c r="H98" s="4" t="s">
        <v>23</v>
      </c>
      <c r="I98" s="4" t="s">
        <v>23</v>
      </c>
    </row>
    <row r="99" ht="62" customHeight="1" spans="1:9" x14ac:dyDescent="0.25">
      <c r="A99" s="3" t="s">
        <v>50</v>
      </c>
      <c r="B99" s="4" t="s">
        <v>16</v>
      </c>
      <c r="C99" s="3" t="s">
        <v>51</v>
      </c>
      <c r="D99" s="4" t="s">
        <v>52</v>
      </c>
      <c r="E99" s="3" t="s">
        <v>7</v>
      </c>
      <c r="F99" s="3" t="s">
        <v>22</v>
      </c>
      <c r="G99" s="4" t="s">
        <v>23</v>
      </c>
      <c r="H99" s="4" t="s">
        <v>23</v>
      </c>
      <c r="I99" s="4" t="s">
        <v>23</v>
      </c>
    </row>
    <row r="100" ht="48" customHeight="1" spans="1:9" x14ac:dyDescent="0.25">
      <c r="A100" s="3" t="s">
        <v>53</v>
      </c>
      <c r="B100" s="4" t="s">
        <v>16</v>
      </c>
      <c r="C100" s="3" t="s">
        <v>18</v>
      </c>
      <c r="D100" s="4" t="s">
        <v>54</v>
      </c>
      <c r="E100" s="3" t="s">
        <v>7</v>
      </c>
      <c r="F100" s="3" t="s">
        <v>22</v>
      </c>
      <c r="G100" s="4" t="s">
        <v>23</v>
      </c>
      <c r="H100" s="4" t="s">
        <v>23</v>
      </c>
      <c r="I100" s="4" t="s">
        <v>23</v>
      </c>
    </row>
    <row r="101" ht="48" customHeight="1" spans="1:9" x14ac:dyDescent="0.25">
      <c r="A101" s="3" t="s">
        <v>55</v>
      </c>
      <c r="B101" s="4" t="s">
        <v>16</v>
      </c>
      <c r="C101" s="3" t="s">
        <v>18</v>
      </c>
      <c r="D101" s="4" t="s">
        <v>56</v>
      </c>
      <c r="E101" s="3" t="s">
        <v>7</v>
      </c>
      <c r="F101" s="3" t="s">
        <v>22</v>
      </c>
      <c r="G101" s="4" t="s">
        <v>23</v>
      </c>
      <c r="H101" s="4" t="s">
        <v>23</v>
      </c>
      <c r="I101" s="4" t="s">
        <v>23</v>
      </c>
    </row>
    <row r="102" ht="48" customHeight="1" spans="1:9" x14ac:dyDescent="0.25">
      <c r="A102" s="3" t="s">
        <v>67</v>
      </c>
      <c r="B102" s="4" t="s">
        <v>16</v>
      </c>
      <c r="C102" s="3" t="s">
        <v>18</v>
      </c>
      <c r="D102" s="4" t="s">
        <v>68</v>
      </c>
      <c r="E102" s="3" t="s">
        <v>7</v>
      </c>
      <c r="F102" s="3" t="s">
        <v>22</v>
      </c>
      <c r="G102" s="4" t="s">
        <v>23</v>
      </c>
      <c r="H102" s="4" t="s">
        <v>23</v>
      </c>
      <c r="I102" s="4" t="s">
        <v>23</v>
      </c>
    </row>
    <row r="103" ht="48" customHeight="1" spans="1:9" x14ac:dyDescent="0.25">
      <c r="A103" s="3" t="s">
        <v>71</v>
      </c>
      <c r="B103" s="4" t="s">
        <v>16</v>
      </c>
      <c r="C103" s="3" t="s">
        <v>18</v>
      </c>
      <c r="D103" s="4" t="s">
        <v>73</v>
      </c>
      <c r="E103" s="3" t="s">
        <v>7</v>
      </c>
      <c r="F103" s="3" t="s">
        <v>22</v>
      </c>
      <c r="G103" s="4" t="s">
        <v>23</v>
      </c>
      <c r="H103" s="4" t="s">
        <v>23</v>
      </c>
      <c r="I103" s="4" t="s">
        <v>23</v>
      </c>
    </row>
    <row r="104" ht="48" customHeight="1" spans="1:9" x14ac:dyDescent="0.25">
      <c r="A104" s="3" t="s">
        <v>78</v>
      </c>
      <c r="B104" s="4" t="s">
        <v>16</v>
      </c>
      <c r="C104" s="3" t="s">
        <v>79</v>
      </c>
      <c r="D104" s="4" t="s">
        <v>80</v>
      </c>
      <c r="E104" s="3" t="s">
        <v>7</v>
      </c>
      <c r="F104" s="3" t="s">
        <v>22</v>
      </c>
      <c r="G104" s="4" t="s">
        <v>23</v>
      </c>
      <c r="H104" s="4" t="s">
        <v>23</v>
      </c>
      <c r="I104" s="4" t="s">
        <v>23</v>
      </c>
    </row>
    <row r="105" ht="48" customHeight="1" spans="1:9" x14ac:dyDescent="0.25">
      <c r="A105" s="3" t="s">
        <v>87</v>
      </c>
      <c r="B105" s="4" t="s">
        <v>82</v>
      </c>
      <c r="C105" s="3" t="s">
        <v>18</v>
      </c>
      <c r="D105" s="4" t="s">
        <v>88</v>
      </c>
      <c r="E105" s="3" t="s">
        <v>7</v>
      </c>
      <c r="F105" s="3" t="s">
        <v>22</v>
      </c>
      <c r="G105" s="4" t="s">
        <v>23</v>
      </c>
      <c r="H105" s="4" t="s">
        <v>23</v>
      </c>
      <c r="I105" s="4" t="s">
        <v>23</v>
      </c>
    </row>
    <row r="106" ht="90" customHeight="1" spans="1:9" x14ac:dyDescent="0.25">
      <c r="A106" s="3" t="s">
        <v>94</v>
      </c>
      <c r="B106" s="4" t="s">
        <v>82</v>
      </c>
      <c r="C106" s="3" t="s">
        <v>76</v>
      </c>
      <c r="D106" s="4" t="s">
        <v>95</v>
      </c>
      <c r="E106" s="3" t="s">
        <v>7</v>
      </c>
      <c r="F106" s="3" t="s">
        <v>22</v>
      </c>
      <c r="G106" s="4" t="s">
        <v>23</v>
      </c>
      <c r="H106" s="4" t="s">
        <v>23</v>
      </c>
      <c r="I106" s="4" t="s">
        <v>23</v>
      </c>
    </row>
    <row r="107" ht="48" customHeight="1" spans="1:9" x14ac:dyDescent="0.25">
      <c r="A107" s="3" t="s">
        <v>96</v>
      </c>
      <c r="B107" s="4" t="s">
        <v>82</v>
      </c>
      <c r="C107" s="3" t="s">
        <v>76</v>
      </c>
      <c r="D107" s="4" t="s">
        <v>97</v>
      </c>
      <c r="E107" s="3" t="s">
        <v>7</v>
      </c>
      <c r="F107" s="3" t="s">
        <v>22</v>
      </c>
      <c r="G107" s="4" t="s">
        <v>23</v>
      </c>
      <c r="H107" s="4" t="s">
        <v>23</v>
      </c>
      <c r="I107" s="4" t="s">
        <v>23</v>
      </c>
    </row>
    <row r="108" ht="48" customHeight="1" spans="1:9" x14ac:dyDescent="0.25">
      <c r="A108" s="3" t="s">
        <v>98</v>
      </c>
      <c r="B108" s="4" t="s">
        <v>82</v>
      </c>
      <c r="C108" s="3" t="s">
        <v>76</v>
      </c>
      <c r="D108" s="4" t="s">
        <v>99</v>
      </c>
      <c r="E108" s="3" t="s">
        <v>7</v>
      </c>
      <c r="F108" s="3" t="s">
        <v>22</v>
      </c>
      <c r="G108" s="4" t="s">
        <v>23</v>
      </c>
      <c r="H108" s="4" t="s">
        <v>23</v>
      </c>
      <c r="I108" s="4" t="s">
        <v>23</v>
      </c>
    </row>
    <row r="109" ht="48" customHeight="1" spans="1:9" x14ac:dyDescent="0.25">
      <c r="A109" s="3" t="s">
        <v>110</v>
      </c>
      <c r="B109" s="4" t="s">
        <v>82</v>
      </c>
      <c r="C109" s="3" t="s">
        <v>111</v>
      </c>
      <c r="D109" s="4" t="s">
        <v>112</v>
      </c>
      <c r="E109" s="3" t="s">
        <v>7</v>
      </c>
      <c r="F109" s="3" t="s">
        <v>22</v>
      </c>
      <c r="G109" s="4" t="s">
        <v>23</v>
      </c>
      <c r="H109" s="4" t="s">
        <v>23</v>
      </c>
      <c r="I109" s="4" t="s">
        <v>23</v>
      </c>
    </row>
    <row r="110" ht="62" customHeight="1" spans="1:9" x14ac:dyDescent="0.25">
      <c r="A110" s="3" t="s">
        <v>113</v>
      </c>
      <c r="B110" s="4" t="s">
        <v>82</v>
      </c>
      <c r="C110" s="3" t="s">
        <v>111</v>
      </c>
      <c r="D110" s="4" t="s">
        <v>114</v>
      </c>
      <c r="E110" s="3" t="s">
        <v>7</v>
      </c>
      <c r="F110" s="3" t="s">
        <v>22</v>
      </c>
      <c r="G110" s="4" t="s">
        <v>23</v>
      </c>
      <c r="H110" s="4" t="s">
        <v>23</v>
      </c>
      <c r="I110" s="4" t="s">
        <v>23</v>
      </c>
    </row>
    <row r="111" ht="48" customHeight="1" spans="1:9" x14ac:dyDescent="0.25">
      <c r="A111" s="3" t="s">
        <v>115</v>
      </c>
      <c r="B111" s="4" t="s">
        <v>82</v>
      </c>
      <c r="C111" s="3" t="s">
        <v>76</v>
      </c>
      <c r="D111" s="4" t="s">
        <v>116</v>
      </c>
      <c r="E111" s="3" t="s">
        <v>7</v>
      </c>
      <c r="F111" s="3" t="s">
        <v>22</v>
      </c>
      <c r="G111" s="4" t="s">
        <v>23</v>
      </c>
      <c r="H111" s="4" t="s">
        <v>23</v>
      </c>
      <c r="I111" s="4" t="s">
        <v>23</v>
      </c>
    </row>
    <row r="112" ht="48" customHeight="1" spans="1:9" x14ac:dyDescent="0.25">
      <c r="A112" s="3" t="s">
        <v>121</v>
      </c>
      <c r="B112" s="4" t="s">
        <v>82</v>
      </c>
      <c r="C112" s="3" t="s">
        <v>62</v>
      </c>
      <c r="D112" s="4" t="s">
        <v>122</v>
      </c>
      <c r="E112" s="3" t="s">
        <v>7</v>
      </c>
      <c r="F112" s="3" t="s">
        <v>22</v>
      </c>
      <c r="G112" s="4" t="s">
        <v>23</v>
      </c>
      <c r="H112" s="4" t="s">
        <v>23</v>
      </c>
      <c r="I112" s="4" t="s">
        <v>23</v>
      </c>
    </row>
    <row r="113" ht="48" customHeight="1" spans="1:9" x14ac:dyDescent="0.25">
      <c r="A113" s="3" t="s">
        <v>125</v>
      </c>
      <c r="B113" s="4" t="s">
        <v>82</v>
      </c>
      <c r="C113" s="3" t="s">
        <v>76</v>
      </c>
      <c r="D113" s="4" t="s">
        <v>126</v>
      </c>
      <c r="E113" s="3" t="s">
        <v>7</v>
      </c>
      <c r="F113" s="3" t="s">
        <v>22</v>
      </c>
      <c r="G113" s="4" t="s">
        <v>23</v>
      </c>
      <c r="H113" s="4" t="s">
        <v>23</v>
      </c>
      <c r="I113" s="4" t="s">
        <v>23</v>
      </c>
    </row>
    <row r="114" ht="48" customHeight="1" spans="1:9" x14ac:dyDescent="0.25">
      <c r="A114" s="3" t="s">
        <v>127</v>
      </c>
      <c r="B114" s="4" t="s">
        <v>82</v>
      </c>
      <c r="C114" s="3" t="s">
        <v>76</v>
      </c>
      <c r="D114" s="4" t="s">
        <v>128</v>
      </c>
      <c r="E114" s="3" t="s">
        <v>7</v>
      </c>
      <c r="F114" s="3" t="s">
        <v>22</v>
      </c>
      <c r="G114" s="4" t="s">
        <v>23</v>
      </c>
      <c r="H114" s="4" t="s">
        <v>23</v>
      </c>
      <c r="I114" s="4" t="s">
        <v>23</v>
      </c>
    </row>
    <row r="115" ht="62" customHeight="1" spans="1:9" x14ac:dyDescent="0.25">
      <c r="A115" s="3" t="s">
        <v>129</v>
      </c>
      <c r="B115" s="4" t="s">
        <v>82</v>
      </c>
      <c r="C115" s="3" t="s">
        <v>18</v>
      </c>
      <c r="D115" s="4" t="s">
        <v>130</v>
      </c>
      <c r="E115" s="3" t="s">
        <v>7</v>
      </c>
      <c r="F115" s="3" t="s">
        <v>22</v>
      </c>
      <c r="G115" s="4" t="s">
        <v>23</v>
      </c>
      <c r="H115" s="4" t="s">
        <v>23</v>
      </c>
      <c r="I115" s="4" t="s">
        <v>23</v>
      </c>
    </row>
    <row r="116" ht="62" customHeight="1" spans="1:9" x14ac:dyDescent="0.25">
      <c r="A116" s="3" t="s">
        <v>133</v>
      </c>
      <c r="B116" s="4" t="s">
        <v>82</v>
      </c>
      <c r="C116" s="3" t="s">
        <v>76</v>
      </c>
      <c r="D116" s="4" t="s">
        <v>135</v>
      </c>
      <c r="E116" s="3" t="s">
        <v>7</v>
      </c>
      <c r="F116" s="3" t="s">
        <v>22</v>
      </c>
      <c r="G116" s="4" t="s">
        <v>23</v>
      </c>
      <c r="H116" s="4" t="s">
        <v>23</v>
      </c>
      <c r="I116" s="4" t="s">
        <v>23</v>
      </c>
    </row>
    <row r="117" ht="48" customHeight="1" spans="1:9" x14ac:dyDescent="0.25">
      <c r="A117" s="3" t="s">
        <v>137</v>
      </c>
      <c r="B117" s="4" t="s">
        <v>82</v>
      </c>
      <c r="C117" s="3" t="s">
        <v>79</v>
      </c>
      <c r="D117" s="4" t="s">
        <v>138</v>
      </c>
      <c r="E117" s="3" t="s">
        <v>7</v>
      </c>
      <c r="F117" s="3" t="s">
        <v>22</v>
      </c>
      <c r="G117" s="4" t="s">
        <v>23</v>
      </c>
      <c r="H117" s="4" t="s">
        <v>23</v>
      </c>
      <c r="I117" s="4" t="s">
        <v>23</v>
      </c>
    </row>
    <row r="118" ht="48" customHeight="1" spans="1:9" x14ac:dyDescent="0.25">
      <c r="A118" s="3" t="s">
        <v>147</v>
      </c>
      <c r="B118" s="4" t="s">
        <v>82</v>
      </c>
      <c r="C118" s="3" t="s">
        <v>79</v>
      </c>
      <c r="D118" s="4" t="s">
        <v>148</v>
      </c>
      <c r="E118" s="3" t="s">
        <v>7</v>
      </c>
      <c r="F118" s="3" t="s">
        <v>22</v>
      </c>
      <c r="G118" s="4" t="s">
        <v>23</v>
      </c>
      <c r="H118" s="4" t="s">
        <v>23</v>
      </c>
      <c r="I118" s="4" t="s">
        <v>23</v>
      </c>
    </row>
    <row r="119" ht="48" customHeight="1" spans="1:9" x14ac:dyDescent="0.25">
      <c r="A119" s="3" t="s">
        <v>157</v>
      </c>
      <c r="B119" s="4" t="s">
        <v>150</v>
      </c>
      <c r="C119" s="3" t="s">
        <v>76</v>
      </c>
      <c r="D119" s="4" t="s">
        <v>158</v>
      </c>
      <c r="E119" s="3" t="s">
        <v>7</v>
      </c>
      <c r="F119" s="3" t="s">
        <v>22</v>
      </c>
      <c r="G119" s="4" t="s">
        <v>23</v>
      </c>
      <c r="H119" s="4" t="s">
        <v>23</v>
      </c>
      <c r="I119" s="4" t="s">
        <v>23</v>
      </c>
    </row>
    <row r="120" ht="62" customHeight="1" spans="1:9" x14ac:dyDescent="0.25">
      <c r="A120" s="3" t="s">
        <v>162</v>
      </c>
      <c r="B120" s="4" t="s">
        <v>150</v>
      </c>
      <c r="C120" s="3" t="s">
        <v>62</v>
      </c>
      <c r="D120" s="4" t="s">
        <v>163</v>
      </c>
      <c r="E120" s="3" t="s">
        <v>7</v>
      </c>
      <c r="F120" s="3" t="s">
        <v>22</v>
      </c>
      <c r="G120" s="4" t="s">
        <v>23</v>
      </c>
      <c r="H120" s="4" t="s">
        <v>23</v>
      </c>
      <c r="I120" s="4" t="s">
        <v>23</v>
      </c>
    </row>
    <row r="121" ht="48" customHeight="1" spans="1:9" x14ac:dyDescent="0.25">
      <c r="A121" s="3" t="s">
        <v>164</v>
      </c>
      <c r="B121" s="4" t="s">
        <v>150</v>
      </c>
      <c r="C121" s="3" t="s">
        <v>62</v>
      </c>
      <c r="D121" s="4" t="s">
        <v>165</v>
      </c>
      <c r="E121" s="3" t="s">
        <v>7</v>
      </c>
      <c r="F121" s="3" t="s">
        <v>22</v>
      </c>
      <c r="G121" s="4" t="s">
        <v>23</v>
      </c>
      <c r="H121" s="4" t="s">
        <v>23</v>
      </c>
      <c r="I121" s="4" t="s">
        <v>23</v>
      </c>
    </row>
    <row r="122" ht="48" customHeight="1" spans="1:9" x14ac:dyDescent="0.25">
      <c r="A122" s="3" t="s">
        <v>170</v>
      </c>
      <c r="B122" s="4" t="s">
        <v>150</v>
      </c>
      <c r="C122" s="3" t="s">
        <v>62</v>
      </c>
      <c r="D122" s="4" t="s">
        <v>172</v>
      </c>
      <c r="E122" s="3" t="s">
        <v>7</v>
      </c>
      <c r="F122" s="3" t="s">
        <v>22</v>
      </c>
      <c r="G122" s="4" t="s">
        <v>23</v>
      </c>
      <c r="H122" s="4" t="s">
        <v>23</v>
      </c>
      <c r="I122" s="4" t="s">
        <v>23</v>
      </c>
    </row>
    <row r="123" ht="34" customHeight="1" spans="1:9" x14ac:dyDescent="0.25">
      <c r="A123" s="3" t="s">
        <v>173</v>
      </c>
      <c r="B123" s="4" t="s">
        <v>150</v>
      </c>
      <c r="C123" s="3" t="s">
        <v>62</v>
      </c>
      <c r="D123" s="4" t="s">
        <v>174</v>
      </c>
      <c r="E123" s="3" t="s">
        <v>7</v>
      </c>
      <c r="F123" s="3" t="s">
        <v>22</v>
      </c>
      <c r="G123" s="4" t="s">
        <v>23</v>
      </c>
      <c r="H123" s="4" t="s">
        <v>23</v>
      </c>
      <c r="I123" s="4" t="s">
        <v>23</v>
      </c>
    </row>
    <row r="124" ht="48" customHeight="1" spans="1:9" x14ac:dyDescent="0.25">
      <c r="A124" s="3" t="s">
        <v>182</v>
      </c>
      <c r="B124" s="4" t="s">
        <v>150</v>
      </c>
      <c r="C124" s="3" t="s">
        <v>62</v>
      </c>
      <c r="D124" s="4" t="s">
        <v>183</v>
      </c>
      <c r="E124" s="3" t="s">
        <v>7</v>
      </c>
      <c r="F124" s="3" t="s">
        <v>22</v>
      </c>
      <c r="G124" s="4" t="s">
        <v>23</v>
      </c>
      <c r="H124" s="4" t="s">
        <v>23</v>
      </c>
      <c r="I124" s="4" t="s">
        <v>23</v>
      </c>
    </row>
    <row r="125" ht="48" customHeight="1" spans="1:9" x14ac:dyDescent="0.25">
      <c r="A125" s="3" t="s">
        <v>184</v>
      </c>
      <c r="B125" s="4" t="s">
        <v>150</v>
      </c>
      <c r="C125" s="3" t="s">
        <v>62</v>
      </c>
      <c r="D125" s="4" t="s">
        <v>185</v>
      </c>
      <c r="E125" s="3" t="s">
        <v>7</v>
      </c>
      <c r="F125" s="3" t="s">
        <v>22</v>
      </c>
      <c r="G125" s="4" t="s">
        <v>23</v>
      </c>
      <c r="H125" s="4" t="s">
        <v>23</v>
      </c>
      <c r="I125" s="4" t="s">
        <v>23</v>
      </c>
    </row>
    <row r="126" ht="76" customHeight="1" spans="1:9" x14ac:dyDescent="0.25">
      <c r="A126" s="3" t="s">
        <v>186</v>
      </c>
      <c r="B126" s="4" t="s">
        <v>150</v>
      </c>
      <c r="C126" s="3" t="s">
        <v>76</v>
      </c>
      <c r="D126" s="4" t="s">
        <v>187</v>
      </c>
      <c r="E126" s="3" t="s">
        <v>7</v>
      </c>
      <c r="F126" s="3" t="s">
        <v>22</v>
      </c>
      <c r="G126" s="4" t="s">
        <v>23</v>
      </c>
      <c r="H126" s="4" t="s">
        <v>23</v>
      </c>
      <c r="I126" s="4" t="s">
        <v>23</v>
      </c>
    </row>
    <row r="127" ht="48" customHeight="1" spans="1:9" x14ac:dyDescent="0.25">
      <c r="A127" s="3" t="s">
        <v>188</v>
      </c>
      <c r="B127" s="4" t="s">
        <v>150</v>
      </c>
      <c r="C127" s="3" t="s">
        <v>18</v>
      </c>
      <c r="D127" s="4" t="s">
        <v>190</v>
      </c>
      <c r="E127" s="3" t="s">
        <v>7</v>
      </c>
      <c r="F127" s="3" t="s">
        <v>22</v>
      </c>
      <c r="G127" s="4" t="s">
        <v>23</v>
      </c>
      <c r="H127" s="4" t="s">
        <v>23</v>
      </c>
      <c r="I127" s="4" t="s">
        <v>23</v>
      </c>
    </row>
    <row r="128" ht="48" customHeight="1" spans="1:9" x14ac:dyDescent="0.25">
      <c r="A128" s="3" t="s">
        <v>193</v>
      </c>
      <c r="B128" s="4" t="s">
        <v>150</v>
      </c>
      <c r="C128" s="3" t="s">
        <v>111</v>
      </c>
      <c r="D128" s="4" t="s">
        <v>195</v>
      </c>
      <c r="E128" s="3" t="s">
        <v>7</v>
      </c>
      <c r="F128" s="3" t="s">
        <v>22</v>
      </c>
      <c r="G128" s="4" t="s">
        <v>23</v>
      </c>
      <c r="H128" s="4" t="s">
        <v>23</v>
      </c>
      <c r="I128" s="4" t="s">
        <v>23</v>
      </c>
    </row>
    <row r="129" ht="62" customHeight="1" spans="1:9" x14ac:dyDescent="0.25">
      <c r="A129" s="3" t="s">
        <v>196</v>
      </c>
      <c r="B129" s="4" t="s">
        <v>150</v>
      </c>
      <c r="C129" s="3" t="s">
        <v>76</v>
      </c>
      <c r="D129" s="4" t="s">
        <v>197</v>
      </c>
      <c r="E129" s="3" t="s">
        <v>7</v>
      </c>
      <c r="F129" s="3" t="s">
        <v>22</v>
      </c>
      <c r="G129" s="4" t="s">
        <v>23</v>
      </c>
      <c r="H129" s="4" t="s">
        <v>23</v>
      </c>
      <c r="I129" s="4" t="s">
        <v>23</v>
      </c>
    </row>
    <row r="130" ht="48" customHeight="1" spans="1:9" x14ac:dyDescent="0.25">
      <c r="A130" s="3" t="s">
        <v>201</v>
      </c>
      <c r="B130" s="4" t="s">
        <v>150</v>
      </c>
      <c r="C130" s="3" t="s">
        <v>111</v>
      </c>
      <c r="D130" s="4" t="s">
        <v>202</v>
      </c>
      <c r="E130" s="3" t="s">
        <v>7</v>
      </c>
      <c r="F130" s="3" t="s">
        <v>22</v>
      </c>
      <c r="G130" s="4" t="s">
        <v>23</v>
      </c>
      <c r="H130" s="4" t="s">
        <v>23</v>
      </c>
      <c r="I130" s="4" t="s">
        <v>23</v>
      </c>
    </row>
    <row r="131" ht="34" customHeight="1" spans="1:9" x14ac:dyDescent="0.25">
      <c r="A131" s="3" t="s">
        <v>203</v>
      </c>
      <c r="B131" s="4" t="s">
        <v>150</v>
      </c>
      <c r="C131" s="3" t="s">
        <v>65</v>
      </c>
      <c r="D131" s="4" t="s">
        <v>205</v>
      </c>
      <c r="E131" s="3" t="s">
        <v>7</v>
      </c>
      <c r="F131" s="3" t="s">
        <v>22</v>
      </c>
      <c r="G131" s="4" t="s">
        <v>23</v>
      </c>
      <c r="H131" s="4" t="s">
        <v>23</v>
      </c>
      <c r="I131" s="4" t="s">
        <v>23</v>
      </c>
    </row>
    <row r="132" ht="34" customHeight="1" spans="1:9" x14ac:dyDescent="0.25">
      <c r="A132" s="3" t="s">
        <v>206</v>
      </c>
      <c r="B132" s="4" t="s">
        <v>150</v>
      </c>
      <c r="C132" s="3" t="s">
        <v>65</v>
      </c>
      <c r="D132" s="4" t="s">
        <v>207</v>
      </c>
      <c r="E132" s="3" t="s">
        <v>7</v>
      </c>
      <c r="F132" s="3" t="s">
        <v>22</v>
      </c>
      <c r="G132" s="4" t="s">
        <v>23</v>
      </c>
      <c r="H132" s="4" t="s">
        <v>23</v>
      </c>
      <c r="I132" s="4" t="s">
        <v>23</v>
      </c>
    </row>
    <row r="133" ht="48" customHeight="1" spans="1:9" x14ac:dyDescent="0.25">
      <c r="A133" s="3" t="s">
        <v>208</v>
      </c>
      <c r="B133" s="4" t="s">
        <v>150</v>
      </c>
      <c r="C133" s="3" t="s">
        <v>62</v>
      </c>
      <c r="D133" s="4" t="s">
        <v>209</v>
      </c>
      <c r="E133" s="3" t="s">
        <v>7</v>
      </c>
      <c r="F133" s="3" t="s">
        <v>22</v>
      </c>
      <c r="G133" s="4" t="s">
        <v>23</v>
      </c>
      <c r="H133" s="4" t="s">
        <v>23</v>
      </c>
      <c r="I133" s="4" t="s">
        <v>23</v>
      </c>
    </row>
    <row r="134" ht="76" customHeight="1" spans="1:9" x14ac:dyDescent="0.25">
      <c r="A134" s="3" t="s">
        <v>210</v>
      </c>
      <c r="B134" s="4" t="s">
        <v>150</v>
      </c>
      <c r="C134" s="3" t="s">
        <v>62</v>
      </c>
      <c r="D134" s="4" t="s">
        <v>211</v>
      </c>
      <c r="E134" s="3" t="s">
        <v>7</v>
      </c>
      <c r="F134" s="3" t="s">
        <v>22</v>
      </c>
      <c r="G134" s="4" t="s">
        <v>23</v>
      </c>
      <c r="H134" s="4" t="s">
        <v>23</v>
      </c>
      <c r="I134" s="4" t="s">
        <v>23</v>
      </c>
    </row>
    <row r="135" ht="76" customHeight="1" spans="1:9" x14ac:dyDescent="0.25">
      <c r="A135" s="3" t="s">
        <v>218</v>
      </c>
      <c r="B135" s="4" t="s">
        <v>213</v>
      </c>
      <c r="C135" s="3" t="s">
        <v>65</v>
      </c>
      <c r="D135" s="4" t="s">
        <v>219</v>
      </c>
      <c r="E135" s="3" t="s">
        <v>7</v>
      </c>
      <c r="F135" s="3" t="s">
        <v>22</v>
      </c>
      <c r="G135" s="4" t="s">
        <v>23</v>
      </c>
      <c r="H135" s="4" t="s">
        <v>23</v>
      </c>
      <c r="I135" s="4" t="s">
        <v>23</v>
      </c>
    </row>
    <row r="136" ht="48" customHeight="1" spans="1:9" x14ac:dyDescent="0.25">
      <c r="A136" s="3" t="s">
        <v>220</v>
      </c>
      <c r="B136" s="4" t="s">
        <v>213</v>
      </c>
      <c r="C136" s="3" t="s">
        <v>65</v>
      </c>
      <c r="D136" s="4" t="s">
        <v>221</v>
      </c>
      <c r="E136" s="3" t="s">
        <v>7</v>
      </c>
      <c r="F136" s="3" t="s">
        <v>22</v>
      </c>
      <c r="G136" s="4" t="s">
        <v>23</v>
      </c>
      <c r="H136" s="4" t="s">
        <v>23</v>
      </c>
      <c r="I136" s="4" t="s">
        <v>23</v>
      </c>
    </row>
    <row r="137" ht="48" customHeight="1" spans="1:9" x14ac:dyDescent="0.25">
      <c r="A137" s="3" t="s">
        <v>222</v>
      </c>
      <c r="B137" s="4" t="s">
        <v>213</v>
      </c>
      <c r="C137" s="3" t="s">
        <v>65</v>
      </c>
      <c r="D137" s="4" t="s">
        <v>223</v>
      </c>
      <c r="E137" s="3" t="s">
        <v>7</v>
      </c>
      <c r="F137" s="3" t="s">
        <v>22</v>
      </c>
      <c r="G137" s="4" t="s">
        <v>23</v>
      </c>
      <c r="H137" s="4" t="s">
        <v>23</v>
      </c>
      <c r="I137" s="4" t="s">
        <v>23</v>
      </c>
    </row>
    <row r="138" ht="48" customHeight="1" spans="1:9" x14ac:dyDescent="0.25">
      <c r="A138" s="3" t="s">
        <v>224</v>
      </c>
      <c r="B138" s="4" t="s">
        <v>213</v>
      </c>
      <c r="C138" s="3" t="s">
        <v>65</v>
      </c>
      <c r="D138" s="4" t="s">
        <v>225</v>
      </c>
      <c r="E138" s="3" t="s">
        <v>7</v>
      </c>
      <c r="F138" s="3" t="s">
        <v>22</v>
      </c>
      <c r="G138" s="4" t="s">
        <v>23</v>
      </c>
      <c r="H138" s="4" t="s">
        <v>23</v>
      </c>
      <c r="I138" s="4" t="s">
        <v>23</v>
      </c>
    </row>
    <row r="139" ht="62" customHeight="1" spans="1:9" x14ac:dyDescent="0.25">
      <c r="A139" s="3" t="s">
        <v>226</v>
      </c>
      <c r="B139" s="4" t="s">
        <v>213</v>
      </c>
      <c r="C139" s="3" t="s">
        <v>62</v>
      </c>
      <c r="D139" s="4" t="s">
        <v>227</v>
      </c>
      <c r="E139" s="3" t="s">
        <v>7</v>
      </c>
      <c r="F139" s="3" t="s">
        <v>22</v>
      </c>
      <c r="G139" s="4" t="s">
        <v>23</v>
      </c>
      <c r="H139" s="4" t="s">
        <v>23</v>
      </c>
      <c r="I139" s="4" t="s">
        <v>23</v>
      </c>
    </row>
    <row r="140" ht="48" customHeight="1" spans="1:9" x14ac:dyDescent="0.25">
      <c r="A140" s="3" t="s">
        <v>236</v>
      </c>
      <c r="B140" s="4" t="s">
        <v>213</v>
      </c>
      <c r="C140" s="3" t="s">
        <v>232</v>
      </c>
      <c r="D140" s="4" t="s">
        <v>237</v>
      </c>
      <c r="E140" s="3" t="s">
        <v>7</v>
      </c>
      <c r="F140" s="3" t="s">
        <v>22</v>
      </c>
      <c r="G140" s="4" t="s">
        <v>23</v>
      </c>
      <c r="H140" s="4" t="s">
        <v>23</v>
      </c>
      <c r="I140" s="4" t="s">
        <v>23</v>
      </c>
    </row>
    <row r="141" ht="48" customHeight="1" spans="1:9" x14ac:dyDescent="0.25">
      <c r="A141" s="3" t="s">
        <v>243</v>
      </c>
      <c r="B141" s="4" t="s">
        <v>213</v>
      </c>
      <c r="C141" s="3" t="s">
        <v>65</v>
      </c>
      <c r="D141" s="4" t="s">
        <v>244</v>
      </c>
      <c r="E141" s="3" t="s">
        <v>7</v>
      </c>
      <c r="F141" s="3" t="s">
        <v>22</v>
      </c>
      <c r="G141" s="4" t="s">
        <v>23</v>
      </c>
      <c r="H141" s="4" t="s">
        <v>23</v>
      </c>
      <c r="I141" s="4" t="s">
        <v>23</v>
      </c>
    </row>
    <row r="142" ht="62" customHeight="1" spans="1:9" x14ac:dyDescent="0.25">
      <c r="A142" s="3" t="s">
        <v>245</v>
      </c>
      <c r="B142" s="4" t="s">
        <v>213</v>
      </c>
      <c r="C142" s="3" t="s">
        <v>18</v>
      </c>
      <c r="D142" s="4" t="s">
        <v>246</v>
      </c>
      <c r="E142" s="3" t="s">
        <v>7</v>
      </c>
      <c r="F142" s="3" t="s">
        <v>22</v>
      </c>
      <c r="G142" s="4" t="s">
        <v>23</v>
      </c>
      <c r="H142" s="4" t="s">
        <v>23</v>
      </c>
      <c r="I142" s="4" t="s">
        <v>23</v>
      </c>
    </row>
    <row r="143" ht="48" customHeight="1" spans="1:9" x14ac:dyDescent="0.25">
      <c r="A143" s="3" t="s">
        <v>253</v>
      </c>
      <c r="B143" s="4" t="s">
        <v>213</v>
      </c>
      <c r="C143" s="3" t="s">
        <v>65</v>
      </c>
      <c r="D143" s="4" t="s">
        <v>254</v>
      </c>
      <c r="E143" s="3" t="s">
        <v>7</v>
      </c>
      <c r="F143" s="3" t="s">
        <v>22</v>
      </c>
      <c r="G143" s="4" t="s">
        <v>23</v>
      </c>
      <c r="H143" s="4" t="s">
        <v>23</v>
      </c>
      <c r="I143" s="4" t="s">
        <v>23</v>
      </c>
    </row>
    <row r="144" ht="48" customHeight="1" spans="1:9" x14ac:dyDescent="0.25">
      <c r="A144" s="3" t="s">
        <v>255</v>
      </c>
      <c r="B144" s="4" t="s">
        <v>213</v>
      </c>
      <c r="C144" s="3" t="s">
        <v>111</v>
      </c>
      <c r="D144" s="4" t="s">
        <v>256</v>
      </c>
      <c r="E144" s="3" t="s">
        <v>7</v>
      </c>
      <c r="F144" s="3" t="s">
        <v>22</v>
      </c>
      <c r="G144" s="4" t="s">
        <v>23</v>
      </c>
      <c r="H144" s="4" t="s">
        <v>23</v>
      </c>
      <c r="I144" s="4" t="s">
        <v>23</v>
      </c>
    </row>
    <row r="145" ht="48" customHeight="1" spans="1:9" x14ac:dyDescent="0.25">
      <c r="A145" s="3" t="s">
        <v>257</v>
      </c>
      <c r="B145" s="4" t="s">
        <v>213</v>
      </c>
      <c r="C145" s="3" t="s">
        <v>65</v>
      </c>
      <c r="D145" s="4" t="s">
        <v>259</v>
      </c>
      <c r="E145" s="3" t="s">
        <v>7</v>
      </c>
      <c r="F145" s="3" t="s">
        <v>22</v>
      </c>
      <c r="G145" s="4" t="s">
        <v>23</v>
      </c>
      <c r="H145" s="4" t="s">
        <v>23</v>
      </c>
      <c r="I145" s="4" t="s">
        <v>23</v>
      </c>
    </row>
    <row r="146" ht="48" customHeight="1" spans="1:9" x14ac:dyDescent="0.25">
      <c r="A146" s="3" t="s">
        <v>261</v>
      </c>
      <c r="B146" s="4" t="s">
        <v>213</v>
      </c>
      <c r="C146" s="3" t="s">
        <v>51</v>
      </c>
      <c r="D146" s="4" t="s">
        <v>262</v>
      </c>
      <c r="E146" s="3" t="s">
        <v>7</v>
      </c>
      <c r="F146" s="3" t="s">
        <v>22</v>
      </c>
      <c r="G146" s="4" t="s">
        <v>23</v>
      </c>
      <c r="H146" s="4" t="s">
        <v>23</v>
      </c>
      <c r="I146" s="4" t="s">
        <v>23</v>
      </c>
    </row>
    <row r="147" ht="62" customHeight="1" spans="1:9" x14ac:dyDescent="0.25">
      <c r="A147" s="3" t="s">
        <v>263</v>
      </c>
      <c r="B147" s="4" t="s">
        <v>213</v>
      </c>
      <c r="C147" s="3" t="s">
        <v>232</v>
      </c>
      <c r="D147" s="4" t="s">
        <v>264</v>
      </c>
      <c r="E147" s="3" t="s">
        <v>7</v>
      </c>
      <c r="F147" s="3" t="s">
        <v>22</v>
      </c>
      <c r="G147" s="4" t="s">
        <v>23</v>
      </c>
      <c r="H147" s="4" t="s">
        <v>23</v>
      </c>
      <c r="I147" s="4" t="s">
        <v>23</v>
      </c>
    </row>
    <row r="148" ht="76" customHeight="1" spans="1:9" x14ac:dyDescent="0.25">
      <c r="A148" s="3" t="s">
        <v>269</v>
      </c>
      <c r="B148" s="4" t="s">
        <v>213</v>
      </c>
      <c r="C148" s="3" t="s">
        <v>62</v>
      </c>
      <c r="D148" s="4" t="s">
        <v>270</v>
      </c>
      <c r="E148" s="3" t="s">
        <v>7</v>
      </c>
      <c r="F148" s="3" t="s">
        <v>22</v>
      </c>
      <c r="G148" s="4" t="s">
        <v>23</v>
      </c>
      <c r="H148" s="4" t="s">
        <v>23</v>
      </c>
      <c r="I148" s="4" t="s">
        <v>23</v>
      </c>
    </row>
    <row r="149" ht="48" customHeight="1" spans="1:9" x14ac:dyDescent="0.25">
      <c r="A149" s="3" t="s">
        <v>271</v>
      </c>
      <c r="B149" s="4" t="s">
        <v>213</v>
      </c>
      <c r="C149" s="3" t="s">
        <v>18</v>
      </c>
      <c r="D149" s="4" t="s">
        <v>273</v>
      </c>
      <c r="E149" s="3" t="s">
        <v>7</v>
      </c>
      <c r="F149" s="3" t="s">
        <v>22</v>
      </c>
      <c r="G149" s="4" t="s">
        <v>23</v>
      </c>
      <c r="H149" s="4" t="s">
        <v>23</v>
      </c>
      <c r="I149" s="4" t="s">
        <v>23</v>
      </c>
    </row>
    <row r="150" ht="48" customHeight="1" spans="1:9" x14ac:dyDescent="0.25">
      <c r="A150" s="3" t="s">
        <v>274</v>
      </c>
      <c r="B150" s="4" t="s">
        <v>213</v>
      </c>
      <c r="C150" s="3" t="s">
        <v>65</v>
      </c>
      <c r="D150" s="4" t="s">
        <v>275</v>
      </c>
      <c r="E150" s="3" t="s">
        <v>7</v>
      </c>
      <c r="F150" s="3" t="s">
        <v>22</v>
      </c>
      <c r="G150" s="4" t="s">
        <v>23</v>
      </c>
      <c r="H150" s="4" t="s">
        <v>23</v>
      </c>
      <c r="I150" s="4" t="s">
        <v>23</v>
      </c>
    </row>
    <row r="151" ht="48" customHeight="1" spans="1:9" x14ac:dyDescent="0.25">
      <c r="A151" s="3" t="s">
        <v>285</v>
      </c>
      <c r="B151" s="4" t="s">
        <v>213</v>
      </c>
      <c r="C151" s="3" t="s">
        <v>65</v>
      </c>
      <c r="D151" s="4" t="s">
        <v>286</v>
      </c>
      <c r="E151" s="3" t="s">
        <v>7</v>
      </c>
      <c r="F151" s="3" t="s">
        <v>22</v>
      </c>
      <c r="G151" s="4" t="s">
        <v>23</v>
      </c>
      <c r="H151" s="4" t="s">
        <v>23</v>
      </c>
      <c r="I151" s="4" t="s">
        <v>23</v>
      </c>
    </row>
    <row r="152" ht="48" customHeight="1" spans="1:9" x14ac:dyDescent="0.25">
      <c r="A152" s="3" t="s">
        <v>287</v>
      </c>
      <c r="B152" s="4" t="s">
        <v>213</v>
      </c>
      <c r="C152" s="3" t="s">
        <v>65</v>
      </c>
      <c r="D152" s="4" t="s">
        <v>288</v>
      </c>
      <c r="E152" s="3" t="s">
        <v>7</v>
      </c>
      <c r="F152" s="3" t="s">
        <v>22</v>
      </c>
      <c r="G152" s="4" t="s">
        <v>23</v>
      </c>
      <c r="H152" s="4" t="s">
        <v>23</v>
      </c>
      <c r="I152" s="4" t="s">
        <v>23</v>
      </c>
    </row>
    <row r="153" ht="34" customHeight="1" spans="1:9" x14ac:dyDescent="0.25">
      <c r="A153" s="3" t="s">
        <v>296</v>
      </c>
      <c r="B153" s="4" t="s">
        <v>290</v>
      </c>
      <c r="C153" s="3" t="s">
        <v>232</v>
      </c>
      <c r="D153" s="4" t="s">
        <v>297</v>
      </c>
      <c r="E153" s="3" t="s">
        <v>7</v>
      </c>
      <c r="F153" s="3" t="s">
        <v>22</v>
      </c>
      <c r="G153" s="4" t="s">
        <v>23</v>
      </c>
      <c r="H153" s="4" t="s">
        <v>23</v>
      </c>
      <c r="I153" s="4" t="s">
        <v>23</v>
      </c>
    </row>
    <row r="154" ht="62" customHeight="1" spans="1:9" x14ac:dyDescent="0.25">
      <c r="A154" s="3" t="s">
        <v>298</v>
      </c>
      <c r="B154" s="4" t="s">
        <v>290</v>
      </c>
      <c r="C154" s="3" t="s">
        <v>232</v>
      </c>
      <c r="D154" s="4" t="s">
        <v>299</v>
      </c>
      <c r="E154" s="3" t="s">
        <v>7</v>
      </c>
      <c r="F154" s="3" t="s">
        <v>22</v>
      </c>
      <c r="G154" s="4" t="s">
        <v>23</v>
      </c>
      <c r="H154" s="4" t="s">
        <v>23</v>
      </c>
      <c r="I154" s="4" t="s">
        <v>23</v>
      </c>
    </row>
    <row r="155" ht="62" customHeight="1" spans="1:9" x14ac:dyDescent="0.25">
      <c r="A155" s="3" t="s">
        <v>306</v>
      </c>
      <c r="B155" s="4" t="s">
        <v>290</v>
      </c>
      <c r="C155" s="3" t="s">
        <v>62</v>
      </c>
      <c r="D155" s="4" t="s">
        <v>307</v>
      </c>
      <c r="E155" s="3" t="s">
        <v>7</v>
      </c>
      <c r="F155" s="3" t="s">
        <v>22</v>
      </c>
      <c r="G155" s="4" t="s">
        <v>23</v>
      </c>
      <c r="H155" s="4" t="s">
        <v>23</v>
      </c>
      <c r="I155" s="4" t="s">
        <v>23</v>
      </c>
    </row>
    <row r="156" ht="34" customHeight="1" spans="1:9" x14ac:dyDescent="0.25">
      <c r="A156" s="3" t="s">
        <v>308</v>
      </c>
      <c r="B156" s="4" t="s">
        <v>290</v>
      </c>
      <c r="C156" s="3" t="s">
        <v>232</v>
      </c>
      <c r="D156" s="4" t="s">
        <v>309</v>
      </c>
      <c r="E156" s="3" t="s">
        <v>7</v>
      </c>
      <c r="F156" s="3" t="s">
        <v>22</v>
      </c>
      <c r="G156" s="4" t="s">
        <v>23</v>
      </c>
      <c r="H156" s="4" t="s">
        <v>23</v>
      </c>
      <c r="I156" s="4" t="s">
        <v>23</v>
      </c>
    </row>
    <row r="157" ht="34" customHeight="1" spans="1:9" x14ac:dyDescent="0.25">
      <c r="A157" s="3" t="s">
        <v>316</v>
      </c>
      <c r="B157" s="4" t="s">
        <v>290</v>
      </c>
      <c r="C157" s="3" t="s">
        <v>65</v>
      </c>
      <c r="D157" s="4" t="s">
        <v>317</v>
      </c>
      <c r="E157" s="3" t="s">
        <v>7</v>
      </c>
      <c r="F157" s="3" t="s">
        <v>22</v>
      </c>
      <c r="G157" s="4" t="s">
        <v>23</v>
      </c>
      <c r="H157" s="4" t="s">
        <v>23</v>
      </c>
      <c r="I157" s="4" t="s">
        <v>23</v>
      </c>
    </row>
    <row r="158" ht="34" customHeight="1" spans="1:9" x14ac:dyDescent="0.25">
      <c r="A158" s="3" t="s">
        <v>318</v>
      </c>
      <c r="B158" s="4" t="s">
        <v>290</v>
      </c>
      <c r="C158" s="3" t="s">
        <v>232</v>
      </c>
      <c r="D158" s="4" t="s">
        <v>319</v>
      </c>
      <c r="E158" s="3" t="s">
        <v>7</v>
      </c>
      <c r="F158" s="3" t="s">
        <v>22</v>
      </c>
      <c r="G158" s="4" t="s">
        <v>23</v>
      </c>
      <c r="H158" s="4" t="s">
        <v>23</v>
      </c>
      <c r="I158" s="4" t="s">
        <v>23</v>
      </c>
    </row>
    <row r="159" ht="34" customHeight="1" spans="1:9" x14ac:dyDescent="0.25">
      <c r="A159" s="3" t="s">
        <v>337</v>
      </c>
      <c r="B159" s="4" t="s">
        <v>290</v>
      </c>
      <c r="C159" s="3" t="s">
        <v>62</v>
      </c>
      <c r="D159" s="4" t="s">
        <v>338</v>
      </c>
      <c r="E159" s="3" t="s">
        <v>7</v>
      </c>
      <c r="F159" s="3" t="s">
        <v>22</v>
      </c>
      <c r="G159" s="4" t="s">
        <v>23</v>
      </c>
      <c r="H159" s="4" t="s">
        <v>23</v>
      </c>
      <c r="I159" s="4" t="s">
        <v>23</v>
      </c>
    </row>
    <row r="160" ht="34" customHeight="1" spans="1:9" x14ac:dyDescent="0.25">
      <c r="A160" s="3" t="s">
        <v>343</v>
      </c>
      <c r="B160" s="4" t="s">
        <v>290</v>
      </c>
      <c r="C160" s="3" t="s">
        <v>62</v>
      </c>
      <c r="D160" s="4" t="s">
        <v>344</v>
      </c>
      <c r="E160" s="3" t="s">
        <v>7</v>
      </c>
      <c r="F160" s="3" t="s">
        <v>22</v>
      </c>
      <c r="G160" s="4" t="s">
        <v>23</v>
      </c>
      <c r="H160" s="4" t="s">
        <v>23</v>
      </c>
      <c r="I160" s="4" t="s">
        <v>23</v>
      </c>
    </row>
    <row r="161" ht="48" customHeight="1" spans="1:9" x14ac:dyDescent="0.25">
      <c r="A161" s="3" t="s">
        <v>349</v>
      </c>
      <c r="B161" s="4" t="s">
        <v>290</v>
      </c>
      <c r="C161" s="3" t="s">
        <v>111</v>
      </c>
      <c r="D161" s="4" t="s">
        <v>350</v>
      </c>
      <c r="E161" s="3" t="s">
        <v>7</v>
      </c>
      <c r="F161" s="3" t="s">
        <v>22</v>
      </c>
      <c r="G161" s="4" t="s">
        <v>23</v>
      </c>
      <c r="H161" s="4" t="s">
        <v>23</v>
      </c>
      <c r="I161" s="4" t="s">
        <v>23</v>
      </c>
    </row>
    <row r="162" ht="34" customHeight="1" spans="1:9" x14ac:dyDescent="0.25">
      <c r="A162" s="3" t="s">
        <v>351</v>
      </c>
      <c r="B162" s="4" t="s">
        <v>290</v>
      </c>
      <c r="C162" s="3" t="s">
        <v>111</v>
      </c>
      <c r="D162" s="4" t="s">
        <v>352</v>
      </c>
      <c r="E162" s="3" t="s">
        <v>7</v>
      </c>
      <c r="F162" s="3" t="s">
        <v>22</v>
      </c>
      <c r="G162" s="4" t="s">
        <v>23</v>
      </c>
      <c r="H162" s="4" t="s">
        <v>23</v>
      </c>
      <c r="I162" s="4" t="s">
        <v>23</v>
      </c>
    </row>
    <row r="163" ht="48" customHeight="1" spans="1:9" x14ac:dyDescent="0.25">
      <c r="A163" s="3" t="s">
        <v>353</v>
      </c>
      <c r="B163" s="4" t="s">
        <v>290</v>
      </c>
      <c r="C163" s="3" t="s">
        <v>62</v>
      </c>
      <c r="D163" s="4" t="s">
        <v>354</v>
      </c>
      <c r="E163" s="3" t="s">
        <v>7</v>
      </c>
      <c r="F163" s="3" t="s">
        <v>22</v>
      </c>
      <c r="G163" s="4" t="s">
        <v>23</v>
      </c>
      <c r="H163" s="4" t="s">
        <v>23</v>
      </c>
      <c r="I163" s="4" t="s">
        <v>23</v>
      </c>
    </row>
    <row r="164" ht="48" customHeight="1" spans="1:9" x14ac:dyDescent="0.25">
      <c r="A164" s="3" t="s">
        <v>359</v>
      </c>
      <c r="B164" s="4" t="s">
        <v>356</v>
      </c>
      <c r="C164" s="3" t="s">
        <v>62</v>
      </c>
      <c r="D164" s="4" t="s">
        <v>360</v>
      </c>
      <c r="E164" s="3" t="s">
        <v>7</v>
      </c>
      <c r="F164" s="3" t="s">
        <v>22</v>
      </c>
      <c r="G164" s="4" t="s">
        <v>23</v>
      </c>
      <c r="H164" s="4" t="s">
        <v>23</v>
      </c>
      <c r="I164" s="4" t="s">
        <v>23</v>
      </c>
    </row>
    <row r="165" ht="62" customHeight="1" spans="1:9" x14ac:dyDescent="0.25">
      <c r="A165" s="3" t="s">
        <v>361</v>
      </c>
      <c r="B165" s="4" t="s">
        <v>356</v>
      </c>
      <c r="C165" s="3" t="s">
        <v>62</v>
      </c>
      <c r="D165" s="4" t="s">
        <v>362</v>
      </c>
      <c r="E165" s="3" t="s">
        <v>7</v>
      </c>
      <c r="F165" s="3" t="s">
        <v>22</v>
      </c>
      <c r="G165" s="4" t="s">
        <v>23</v>
      </c>
      <c r="H165" s="4" t="s">
        <v>23</v>
      </c>
      <c r="I165" s="4" t="s">
        <v>23</v>
      </c>
    </row>
    <row r="166" ht="62" customHeight="1" spans="1:9" x14ac:dyDescent="0.25">
      <c r="A166" s="3" t="s">
        <v>366</v>
      </c>
      <c r="B166" s="4" t="s">
        <v>356</v>
      </c>
      <c r="C166" s="3" t="s">
        <v>62</v>
      </c>
      <c r="D166" s="4" t="s">
        <v>367</v>
      </c>
      <c r="E166" s="3" t="s">
        <v>7</v>
      </c>
      <c r="F166" s="3" t="s">
        <v>22</v>
      </c>
      <c r="G166" s="4" t="s">
        <v>23</v>
      </c>
      <c r="H166" s="4" t="s">
        <v>23</v>
      </c>
      <c r="I166" s="4" t="s">
        <v>23</v>
      </c>
    </row>
    <row r="167" ht="48" customHeight="1" spans="1:9" x14ac:dyDescent="0.25">
      <c r="A167" s="3" t="s">
        <v>368</v>
      </c>
      <c r="B167" s="4" t="s">
        <v>356</v>
      </c>
      <c r="C167" s="3" t="s">
        <v>62</v>
      </c>
      <c r="D167" s="4" t="s">
        <v>369</v>
      </c>
      <c r="E167" s="3" t="s">
        <v>7</v>
      </c>
      <c r="F167" s="3" t="s">
        <v>22</v>
      </c>
      <c r="G167" s="4" t="s">
        <v>23</v>
      </c>
      <c r="H167" s="4" t="s">
        <v>23</v>
      </c>
      <c r="I167" s="4" t="s">
        <v>23</v>
      </c>
    </row>
    <row r="168" ht="34" customHeight="1" spans="1:9" x14ac:dyDescent="0.25">
      <c r="A168" s="3" t="s">
        <v>377</v>
      </c>
      <c r="B168" s="4" t="s">
        <v>356</v>
      </c>
      <c r="C168" s="3" t="s">
        <v>111</v>
      </c>
      <c r="D168" s="4" t="s">
        <v>378</v>
      </c>
      <c r="E168" s="3" t="s">
        <v>7</v>
      </c>
      <c r="F168" s="3" t="s">
        <v>22</v>
      </c>
      <c r="G168" s="4" t="s">
        <v>23</v>
      </c>
      <c r="H168" s="4" t="s">
        <v>23</v>
      </c>
      <c r="I168" s="4" t="s">
        <v>23</v>
      </c>
    </row>
    <row r="169" ht="48" customHeight="1" spans="1:9" x14ac:dyDescent="0.25">
      <c r="A169" s="3" t="s">
        <v>379</v>
      </c>
      <c r="B169" s="4" t="s">
        <v>356</v>
      </c>
      <c r="C169" s="3" t="s">
        <v>62</v>
      </c>
      <c r="D169" s="4" t="s">
        <v>381</v>
      </c>
      <c r="E169" s="3" t="s">
        <v>7</v>
      </c>
      <c r="F169" s="3" t="s">
        <v>22</v>
      </c>
      <c r="G169" s="4" t="s">
        <v>23</v>
      </c>
      <c r="H169" s="4" t="s">
        <v>23</v>
      </c>
      <c r="I169" s="4" t="s">
        <v>23</v>
      </c>
    </row>
    <row r="170" ht="48" customHeight="1" spans="1:9" x14ac:dyDescent="0.25">
      <c r="A170" s="3" t="s">
        <v>383</v>
      </c>
      <c r="B170" s="4" t="s">
        <v>356</v>
      </c>
      <c r="C170" s="3" t="s">
        <v>62</v>
      </c>
      <c r="D170" s="4" t="s">
        <v>384</v>
      </c>
      <c r="E170" s="3" t="s">
        <v>7</v>
      </c>
      <c r="F170" s="3" t="s">
        <v>22</v>
      </c>
      <c r="G170" s="4" t="s">
        <v>23</v>
      </c>
      <c r="H170" s="4" t="s">
        <v>23</v>
      </c>
      <c r="I170" s="4" t="s">
        <v>23</v>
      </c>
    </row>
    <row r="171" ht="48" customHeight="1" spans="1:9" x14ac:dyDescent="0.25">
      <c r="A171" s="3" t="s">
        <v>385</v>
      </c>
      <c r="B171" s="4" t="s">
        <v>356</v>
      </c>
      <c r="C171" s="3" t="s">
        <v>62</v>
      </c>
      <c r="D171" s="4" t="s">
        <v>386</v>
      </c>
      <c r="E171" s="3" t="s">
        <v>7</v>
      </c>
      <c r="F171" s="3" t="s">
        <v>22</v>
      </c>
      <c r="G171" s="4" t="s">
        <v>23</v>
      </c>
      <c r="H171" s="4" t="s">
        <v>23</v>
      </c>
      <c r="I171" s="4" t="s">
        <v>23</v>
      </c>
    </row>
    <row r="172" ht="48" customHeight="1" spans="1:9" x14ac:dyDescent="0.25">
      <c r="A172" s="3" t="s">
        <v>394</v>
      </c>
      <c r="B172" s="4" t="s">
        <v>388</v>
      </c>
      <c r="C172" s="3" t="s">
        <v>32</v>
      </c>
      <c r="D172" s="4" t="s">
        <v>395</v>
      </c>
      <c r="E172" s="3" t="s">
        <v>7</v>
      </c>
      <c r="F172" s="3" t="s">
        <v>22</v>
      </c>
      <c r="G172" s="4" t="s">
        <v>23</v>
      </c>
      <c r="H172" s="4" t="s">
        <v>23</v>
      </c>
      <c r="I172" s="4" t="s">
        <v>23</v>
      </c>
    </row>
    <row r="173" ht="48" customHeight="1" spans="1:9" x14ac:dyDescent="0.25">
      <c r="A173" s="3" t="s">
        <v>396</v>
      </c>
      <c r="B173" s="4" t="s">
        <v>388</v>
      </c>
      <c r="C173" s="3" t="s">
        <v>32</v>
      </c>
      <c r="D173" s="4" t="s">
        <v>397</v>
      </c>
      <c r="E173" s="3" t="s">
        <v>7</v>
      </c>
      <c r="F173" s="3" t="s">
        <v>22</v>
      </c>
      <c r="G173" s="4" t="s">
        <v>23</v>
      </c>
      <c r="H173" s="4" t="s">
        <v>23</v>
      </c>
      <c r="I173" s="4" t="s">
        <v>23</v>
      </c>
    </row>
    <row r="174" ht="48" customHeight="1" spans="1:9" x14ac:dyDescent="0.25">
      <c r="A174" s="3" t="s">
        <v>402</v>
      </c>
      <c r="B174" s="4" t="s">
        <v>388</v>
      </c>
      <c r="C174" s="3" t="s">
        <v>403</v>
      </c>
      <c r="D174" s="4" t="s">
        <v>404</v>
      </c>
      <c r="E174" s="3" t="s">
        <v>7</v>
      </c>
      <c r="F174" s="3" t="s">
        <v>22</v>
      </c>
      <c r="G174" s="4" t="s">
        <v>23</v>
      </c>
      <c r="H174" s="4" t="s">
        <v>23</v>
      </c>
      <c r="I174" s="4" t="s">
        <v>23</v>
      </c>
    </row>
    <row r="175" ht="34" customHeight="1" spans="1:9" x14ac:dyDescent="0.25">
      <c r="A175" s="3" t="s">
        <v>405</v>
      </c>
      <c r="B175" s="4" t="s">
        <v>388</v>
      </c>
      <c r="C175" s="3" t="s">
        <v>62</v>
      </c>
      <c r="D175" s="4" t="s">
        <v>407</v>
      </c>
      <c r="E175" s="3" t="s">
        <v>7</v>
      </c>
      <c r="F175" s="3" t="s">
        <v>22</v>
      </c>
      <c r="G175" s="4" t="s">
        <v>23</v>
      </c>
      <c r="H175" s="4" t="s">
        <v>23</v>
      </c>
      <c r="I175" s="4" t="s">
        <v>23</v>
      </c>
    </row>
    <row r="176" ht="34" customHeight="1" spans="1:9" x14ac:dyDescent="0.25">
      <c r="A176" s="3" t="s">
        <v>409</v>
      </c>
      <c r="B176" s="4" t="s">
        <v>388</v>
      </c>
      <c r="C176" s="3" t="s">
        <v>62</v>
      </c>
      <c r="D176" s="4" t="s">
        <v>410</v>
      </c>
      <c r="E176" s="3" t="s">
        <v>7</v>
      </c>
      <c r="F176" s="3" t="s">
        <v>22</v>
      </c>
      <c r="G176" s="4" t="s">
        <v>23</v>
      </c>
      <c r="H176" s="4" t="s">
        <v>23</v>
      </c>
      <c r="I176" s="4" t="s">
        <v>23</v>
      </c>
    </row>
    <row r="177" ht="34" customHeight="1" spans="1:9" x14ac:dyDescent="0.25">
      <c r="A177" s="3" t="s">
        <v>416</v>
      </c>
      <c r="B177" s="4" t="s">
        <v>388</v>
      </c>
      <c r="C177" s="3" t="s">
        <v>32</v>
      </c>
      <c r="D177" s="4" t="s">
        <v>417</v>
      </c>
      <c r="E177" s="3" t="s">
        <v>7</v>
      </c>
      <c r="F177" s="3" t="s">
        <v>22</v>
      </c>
      <c r="G177" s="4" t="s">
        <v>23</v>
      </c>
      <c r="H177" s="4" t="s">
        <v>23</v>
      </c>
      <c r="I177" s="4" t="s">
        <v>23</v>
      </c>
    </row>
    <row r="178" ht="34" customHeight="1" spans="1:9" x14ac:dyDescent="0.25">
      <c r="A178" s="3" t="s">
        <v>418</v>
      </c>
      <c r="B178" s="4" t="s">
        <v>388</v>
      </c>
      <c r="C178" s="3" t="s">
        <v>32</v>
      </c>
      <c r="D178" s="4" t="s">
        <v>420</v>
      </c>
      <c r="E178" s="3" t="s">
        <v>7</v>
      </c>
      <c r="F178" s="3" t="s">
        <v>22</v>
      </c>
      <c r="G178" s="4" t="s">
        <v>23</v>
      </c>
      <c r="H178" s="4" t="s">
        <v>23</v>
      </c>
      <c r="I178" s="4" t="s">
        <v>23</v>
      </c>
    </row>
    <row r="179" ht="34" customHeight="1" spans="1:9" x14ac:dyDescent="0.25">
      <c r="A179" s="3" t="s">
        <v>421</v>
      </c>
      <c r="B179" s="4" t="s">
        <v>388</v>
      </c>
      <c r="C179" s="3" t="s">
        <v>32</v>
      </c>
      <c r="D179" s="4" t="s">
        <v>422</v>
      </c>
      <c r="E179" s="3" t="s">
        <v>7</v>
      </c>
      <c r="F179" s="3" t="s">
        <v>22</v>
      </c>
      <c r="G179" s="4" t="s">
        <v>23</v>
      </c>
      <c r="H179" s="4" t="s">
        <v>23</v>
      </c>
      <c r="I179" s="4" t="s">
        <v>23</v>
      </c>
    </row>
    <row r="180" ht="48" customHeight="1" spans="1:9" x14ac:dyDescent="0.25">
      <c r="A180" s="3" t="s">
        <v>423</v>
      </c>
      <c r="B180" s="4" t="s">
        <v>388</v>
      </c>
      <c r="C180" s="3" t="s">
        <v>32</v>
      </c>
      <c r="D180" s="4" t="s">
        <v>424</v>
      </c>
      <c r="E180" s="3" t="s">
        <v>7</v>
      </c>
      <c r="F180" s="3" t="s">
        <v>22</v>
      </c>
      <c r="G180" s="4" t="s">
        <v>23</v>
      </c>
      <c r="H180" s="4" t="s">
        <v>23</v>
      </c>
      <c r="I180" s="4" t="s">
        <v>23</v>
      </c>
    </row>
    <row r="181" ht="34" customHeight="1" spans="1:9" x14ac:dyDescent="0.25">
      <c r="A181" s="3" t="s">
        <v>427</v>
      </c>
      <c r="B181" s="4" t="s">
        <v>388</v>
      </c>
      <c r="C181" s="3" t="s">
        <v>65</v>
      </c>
      <c r="D181" s="4" t="s">
        <v>429</v>
      </c>
      <c r="E181" s="3" t="s">
        <v>7</v>
      </c>
      <c r="F181" s="3" t="s">
        <v>22</v>
      </c>
      <c r="G181" s="4" t="s">
        <v>23</v>
      </c>
      <c r="H181" s="4" t="s">
        <v>23</v>
      </c>
      <c r="I181" s="4" t="s">
        <v>23</v>
      </c>
    </row>
    <row r="182" ht="48" customHeight="1" spans="1:9" x14ac:dyDescent="0.25">
      <c r="A182" s="3" t="s">
        <v>431</v>
      </c>
      <c r="B182" s="4" t="s">
        <v>388</v>
      </c>
      <c r="C182" s="3" t="s">
        <v>62</v>
      </c>
      <c r="D182" s="4" t="s">
        <v>432</v>
      </c>
      <c r="E182" s="3" t="s">
        <v>7</v>
      </c>
      <c r="F182" s="3" t="s">
        <v>22</v>
      </c>
      <c r="G182" s="4" t="s">
        <v>23</v>
      </c>
      <c r="H182" s="4" t="s">
        <v>23</v>
      </c>
      <c r="I182" s="4" t="s">
        <v>23</v>
      </c>
    </row>
    <row r="183" ht="34" customHeight="1" spans="1:9" x14ac:dyDescent="0.25">
      <c r="A183" s="3" t="s">
        <v>433</v>
      </c>
      <c r="B183" s="4" t="s">
        <v>388</v>
      </c>
      <c r="C183" s="3" t="s">
        <v>65</v>
      </c>
      <c r="D183" s="4" t="s">
        <v>434</v>
      </c>
      <c r="E183" s="3" t="s">
        <v>7</v>
      </c>
      <c r="F183" s="3" t="s">
        <v>22</v>
      </c>
      <c r="G183" s="4" t="s">
        <v>23</v>
      </c>
      <c r="H183" s="4" t="s">
        <v>23</v>
      </c>
      <c r="I183" s="4" t="s">
        <v>23</v>
      </c>
    </row>
    <row r="184" ht="62" customHeight="1" spans="1:9" x14ac:dyDescent="0.25">
      <c r="A184" s="3" t="s">
        <v>442</v>
      </c>
      <c r="B184" s="4" t="s">
        <v>436</v>
      </c>
      <c r="C184" s="3" t="s">
        <v>403</v>
      </c>
      <c r="D184" s="4" t="s">
        <v>443</v>
      </c>
      <c r="E184" s="3" t="s">
        <v>7</v>
      </c>
      <c r="F184" s="3" t="s">
        <v>22</v>
      </c>
      <c r="G184" s="4" t="s">
        <v>23</v>
      </c>
      <c r="H184" s="4" t="s">
        <v>23</v>
      </c>
      <c r="I184" s="4" t="s">
        <v>23</v>
      </c>
    </row>
    <row r="185" ht="48" customHeight="1" spans="1:9" x14ac:dyDescent="0.25">
      <c r="A185" s="3" t="s">
        <v>450</v>
      </c>
      <c r="B185" s="4" t="s">
        <v>436</v>
      </c>
      <c r="C185" s="3" t="s">
        <v>65</v>
      </c>
      <c r="D185" s="4" t="s">
        <v>451</v>
      </c>
      <c r="E185" s="3" t="s">
        <v>7</v>
      </c>
      <c r="F185" s="3" t="s">
        <v>22</v>
      </c>
      <c r="G185" s="4" t="s">
        <v>23</v>
      </c>
      <c r="H185" s="4" t="s">
        <v>23</v>
      </c>
      <c r="I185" s="4" t="s">
        <v>23</v>
      </c>
    </row>
    <row r="186" ht="48" customHeight="1" spans="1:9" x14ac:dyDescent="0.25">
      <c r="A186" s="3" t="s">
        <v>452</v>
      </c>
      <c r="B186" s="4" t="s">
        <v>436</v>
      </c>
      <c r="C186" s="3" t="s">
        <v>403</v>
      </c>
      <c r="D186" s="4" t="s">
        <v>454</v>
      </c>
      <c r="E186" s="3" t="s">
        <v>7</v>
      </c>
      <c r="F186" s="3" t="s">
        <v>22</v>
      </c>
      <c r="G186" s="4" t="s">
        <v>23</v>
      </c>
      <c r="H186" s="4" t="s">
        <v>23</v>
      </c>
      <c r="I186" s="4" t="s">
        <v>23</v>
      </c>
    </row>
    <row r="187" ht="48" customHeight="1" spans="1:9" x14ac:dyDescent="0.25">
      <c r="A187" s="3" t="s">
        <v>458</v>
      </c>
      <c r="B187" s="4" t="s">
        <v>436</v>
      </c>
      <c r="C187" s="3" t="s">
        <v>403</v>
      </c>
      <c r="D187" s="4" t="s">
        <v>459</v>
      </c>
      <c r="E187" s="3" t="s">
        <v>7</v>
      </c>
      <c r="F187" s="3" t="s">
        <v>22</v>
      </c>
      <c r="G187" s="4" t="s">
        <v>23</v>
      </c>
      <c r="H187" s="4" t="s">
        <v>23</v>
      </c>
      <c r="I187" s="4" t="s">
        <v>23</v>
      </c>
    </row>
    <row r="188" ht="48" customHeight="1" spans="1:9" x14ac:dyDescent="0.25">
      <c r="A188" s="3" t="s">
        <v>460</v>
      </c>
      <c r="B188" s="4" t="s">
        <v>436</v>
      </c>
      <c r="C188" s="3" t="s">
        <v>403</v>
      </c>
      <c r="D188" s="4" t="s">
        <v>462</v>
      </c>
      <c r="E188" s="3" t="s">
        <v>7</v>
      </c>
      <c r="F188" s="3" t="s">
        <v>22</v>
      </c>
      <c r="G188" s="4" t="s">
        <v>23</v>
      </c>
      <c r="H188" s="4" t="s">
        <v>23</v>
      </c>
      <c r="I188" s="4" t="s">
        <v>23</v>
      </c>
    </row>
    <row r="189" ht="48" customHeight="1" spans="1:9" x14ac:dyDescent="0.25">
      <c r="A189" s="3" t="s">
        <v>463</v>
      </c>
      <c r="B189" s="4" t="s">
        <v>436</v>
      </c>
      <c r="C189" s="3" t="s">
        <v>403</v>
      </c>
      <c r="D189" s="4" t="s">
        <v>464</v>
      </c>
      <c r="E189" s="3" t="s">
        <v>7</v>
      </c>
      <c r="F189" s="3" t="s">
        <v>22</v>
      </c>
      <c r="G189" s="4" t="s">
        <v>23</v>
      </c>
      <c r="H189" s="4" t="s">
        <v>23</v>
      </c>
      <c r="I189" s="4" t="s">
        <v>23</v>
      </c>
    </row>
    <row r="190" ht="48" customHeight="1" spans="1:9" x14ac:dyDescent="0.25">
      <c r="A190" s="3" t="s">
        <v>465</v>
      </c>
      <c r="B190" s="4" t="s">
        <v>436</v>
      </c>
      <c r="C190" s="3" t="s">
        <v>62</v>
      </c>
      <c r="D190" s="4" t="s">
        <v>466</v>
      </c>
      <c r="E190" s="3" t="s">
        <v>7</v>
      </c>
      <c r="F190" s="3" t="s">
        <v>22</v>
      </c>
      <c r="G190" s="4" t="s">
        <v>23</v>
      </c>
      <c r="H190" s="4" t="s">
        <v>23</v>
      </c>
      <c r="I190" s="4" t="s">
        <v>23</v>
      </c>
    </row>
    <row r="191" ht="48" customHeight="1" spans="1:9" x14ac:dyDescent="0.25">
      <c r="A191" s="3" t="s">
        <v>467</v>
      </c>
      <c r="B191" s="4" t="s">
        <v>436</v>
      </c>
      <c r="C191" s="3" t="s">
        <v>403</v>
      </c>
      <c r="D191" s="4" t="s">
        <v>468</v>
      </c>
      <c r="E191" s="3" t="s">
        <v>7</v>
      </c>
      <c r="F191" s="3" t="s">
        <v>22</v>
      </c>
      <c r="G191" s="4" t="s">
        <v>23</v>
      </c>
      <c r="H191" s="4" t="s">
        <v>23</v>
      </c>
      <c r="I191" s="4" t="s">
        <v>23</v>
      </c>
    </row>
    <row r="192" ht="48" customHeight="1" spans="1:9" x14ac:dyDescent="0.25">
      <c r="A192" s="3" t="s">
        <v>469</v>
      </c>
      <c r="B192" s="4" t="s">
        <v>436</v>
      </c>
      <c r="C192" s="3" t="s">
        <v>403</v>
      </c>
      <c r="D192" s="4" t="s">
        <v>471</v>
      </c>
      <c r="E192" s="3" t="s">
        <v>7</v>
      </c>
      <c r="F192" s="3" t="s">
        <v>22</v>
      </c>
      <c r="G192" s="4" t="s">
        <v>23</v>
      </c>
      <c r="H192" s="4" t="s">
        <v>23</v>
      </c>
      <c r="I192" s="4" t="s">
        <v>23</v>
      </c>
    </row>
    <row r="193" ht="48" customHeight="1" spans="1:9" x14ac:dyDescent="0.25">
      <c r="A193" s="3" t="s">
        <v>472</v>
      </c>
      <c r="B193" s="4" t="s">
        <v>436</v>
      </c>
      <c r="C193" s="3" t="s">
        <v>403</v>
      </c>
      <c r="D193" s="4" t="s">
        <v>473</v>
      </c>
      <c r="E193" s="3" t="s">
        <v>7</v>
      </c>
      <c r="F193" s="3" t="s">
        <v>22</v>
      </c>
      <c r="G193" s="4" t="s">
        <v>23</v>
      </c>
      <c r="H193" s="4" t="s">
        <v>23</v>
      </c>
      <c r="I193" s="4" t="s">
        <v>23</v>
      </c>
    </row>
    <row r="194" ht="48" customHeight="1" spans="1:9" x14ac:dyDescent="0.25">
      <c r="A194" s="3" t="s">
        <v>476</v>
      </c>
      <c r="B194" s="4" t="s">
        <v>436</v>
      </c>
      <c r="C194" s="3" t="s">
        <v>403</v>
      </c>
      <c r="D194" s="4" t="s">
        <v>478</v>
      </c>
      <c r="E194" s="3" t="s">
        <v>7</v>
      </c>
      <c r="F194" s="3" t="s">
        <v>22</v>
      </c>
      <c r="G194" s="4" t="s">
        <v>23</v>
      </c>
      <c r="H194" s="4" t="s">
        <v>23</v>
      </c>
      <c r="I194" s="4" t="s">
        <v>23</v>
      </c>
    </row>
    <row r="195" ht="48" customHeight="1" spans="1:9" x14ac:dyDescent="0.25">
      <c r="A195" s="3" t="s">
        <v>479</v>
      </c>
      <c r="B195" s="4" t="s">
        <v>436</v>
      </c>
      <c r="C195" s="3" t="s">
        <v>32</v>
      </c>
      <c r="D195" s="4" t="s">
        <v>480</v>
      </c>
      <c r="E195" s="3" t="s">
        <v>7</v>
      </c>
      <c r="F195" s="3" t="s">
        <v>22</v>
      </c>
      <c r="G195" s="4" t="s">
        <v>23</v>
      </c>
      <c r="H195" s="4" t="s">
        <v>23</v>
      </c>
      <c r="I195" s="4" t="s">
        <v>23</v>
      </c>
    </row>
    <row r="196" ht="48" customHeight="1" spans="1:9" x14ac:dyDescent="0.25">
      <c r="A196" s="3" t="s">
        <v>481</v>
      </c>
      <c r="B196" s="4" t="s">
        <v>436</v>
      </c>
      <c r="C196" s="3" t="s">
        <v>403</v>
      </c>
      <c r="D196" s="4" t="s">
        <v>482</v>
      </c>
      <c r="E196" s="3" t="s">
        <v>7</v>
      </c>
      <c r="F196" s="3" t="s">
        <v>22</v>
      </c>
      <c r="G196" s="4" t="s">
        <v>23</v>
      </c>
      <c r="H196" s="4" t="s">
        <v>23</v>
      </c>
      <c r="I196" s="4" t="s">
        <v>23</v>
      </c>
    </row>
    <row r="197" ht="48" customHeight="1" spans="1:9" x14ac:dyDescent="0.25">
      <c r="A197" s="3" t="s">
        <v>483</v>
      </c>
      <c r="B197" s="4" t="s">
        <v>436</v>
      </c>
      <c r="C197" s="3" t="s">
        <v>111</v>
      </c>
      <c r="D197" s="4" t="s">
        <v>484</v>
      </c>
      <c r="E197" s="3" t="s">
        <v>7</v>
      </c>
      <c r="F197" s="3" t="s">
        <v>22</v>
      </c>
      <c r="G197" s="4" t="s">
        <v>23</v>
      </c>
      <c r="H197" s="4" t="s">
        <v>23</v>
      </c>
      <c r="I197" s="4" t="s">
        <v>23</v>
      </c>
    </row>
    <row r="198" ht="62" customHeight="1" spans="1:9" x14ac:dyDescent="0.25">
      <c r="A198" s="3" t="s">
        <v>485</v>
      </c>
      <c r="B198" s="4" t="s">
        <v>436</v>
      </c>
      <c r="C198" s="3" t="s">
        <v>62</v>
      </c>
      <c r="D198" s="4" t="s">
        <v>487</v>
      </c>
      <c r="E198" s="3" t="s">
        <v>7</v>
      </c>
      <c r="F198" s="3" t="s">
        <v>22</v>
      </c>
      <c r="G198" s="4" t="s">
        <v>23</v>
      </c>
      <c r="H198" s="4" t="s">
        <v>23</v>
      </c>
      <c r="I198" s="4" t="s">
        <v>23</v>
      </c>
    </row>
    <row r="199" ht="48" customHeight="1" spans="1:9" x14ac:dyDescent="0.25">
      <c r="A199" s="3" t="s">
        <v>489</v>
      </c>
      <c r="B199" s="4" t="s">
        <v>436</v>
      </c>
      <c r="C199" s="3" t="s">
        <v>62</v>
      </c>
      <c r="D199" s="4" t="s">
        <v>490</v>
      </c>
      <c r="E199" s="3" t="s">
        <v>7</v>
      </c>
      <c r="F199" s="3" t="s">
        <v>22</v>
      </c>
      <c r="G199" s="4" t="s">
        <v>23</v>
      </c>
      <c r="H199" s="4" t="s">
        <v>23</v>
      </c>
      <c r="I199" s="4" t="s">
        <v>23</v>
      </c>
    </row>
    <row r="200" ht="34" customHeight="1" spans="1:9" x14ac:dyDescent="0.25">
      <c r="A200" s="3" t="s">
        <v>491</v>
      </c>
      <c r="B200" s="4" t="s">
        <v>492</v>
      </c>
      <c r="C200" s="3" t="s">
        <v>111</v>
      </c>
      <c r="D200" s="4" t="s">
        <v>494</v>
      </c>
      <c r="E200" s="3" t="s">
        <v>7</v>
      </c>
      <c r="F200" s="3" t="s">
        <v>22</v>
      </c>
      <c r="G200" s="4" t="s">
        <v>23</v>
      </c>
      <c r="H200" s="4" t="s">
        <v>23</v>
      </c>
      <c r="I200" s="4" t="s">
        <v>23</v>
      </c>
    </row>
    <row r="201" ht="62" customHeight="1" spans="1:9" x14ac:dyDescent="0.25">
      <c r="A201" s="3" t="s">
        <v>499</v>
      </c>
      <c r="B201" s="4" t="s">
        <v>492</v>
      </c>
      <c r="C201" s="3" t="s">
        <v>111</v>
      </c>
      <c r="D201" s="4" t="s">
        <v>500</v>
      </c>
      <c r="E201" s="3" t="s">
        <v>7</v>
      </c>
      <c r="F201" s="3" t="s">
        <v>22</v>
      </c>
      <c r="G201" s="4" t="s">
        <v>23</v>
      </c>
      <c r="H201" s="4" t="s">
        <v>23</v>
      </c>
      <c r="I201" s="4" t="s">
        <v>23</v>
      </c>
    </row>
    <row r="202" ht="34" customHeight="1" spans="1:9" x14ac:dyDescent="0.25">
      <c r="A202" s="3" t="s">
        <v>504</v>
      </c>
      <c r="B202" s="4" t="s">
        <v>492</v>
      </c>
      <c r="C202" s="3" t="s">
        <v>111</v>
      </c>
      <c r="D202" s="4" t="s">
        <v>505</v>
      </c>
      <c r="E202" s="3" t="s">
        <v>7</v>
      </c>
      <c r="F202" s="3" t="s">
        <v>22</v>
      </c>
      <c r="G202" s="4" t="s">
        <v>23</v>
      </c>
      <c r="H202" s="4" t="s">
        <v>23</v>
      </c>
      <c r="I202" s="4" t="s">
        <v>23</v>
      </c>
    </row>
    <row r="203" ht="34" customHeight="1" spans="1:9" x14ac:dyDescent="0.25">
      <c r="A203" s="3" t="s">
        <v>506</v>
      </c>
      <c r="B203" s="4" t="s">
        <v>492</v>
      </c>
      <c r="C203" s="3" t="s">
        <v>79</v>
      </c>
      <c r="D203" s="4" t="s">
        <v>507</v>
      </c>
      <c r="E203" s="3" t="s">
        <v>7</v>
      </c>
      <c r="F203" s="3" t="s">
        <v>22</v>
      </c>
      <c r="G203" s="4" t="s">
        <v>23</v>
      </c>
      <c r="H203" s="4" t="s">
        <v>23</v>
      </c>
      <c r="I203" s="4" t="s">
        <v>23</v>
      </c>
    </row>
    <row r="204" ht="34" customHeight="1" spans="1:9" x14ac:dyDescent="0.25">
      <c r="A204" s="3" t="s">
        <v>508</v>
      </c>
      <c r="B204" s="4" t="s">
        <v>492</v>
      </c>
      <c r="C204" s="3" t="s">
        <v>111</v>
      </c>
      <c r="D204" s="4" t="s">
        <v>510</v>
      </c>
      <c r="E204" s="3" t="s">
        <v>7</v>
      </c>
      <c r="F204" s="3" t="s">
        <v>22</v>
      </c>
      <c r="G204" s="4" t="s">
        <v>23</v>
      </c>
      <c r="H204" s="4" t="s">
        <v>23</v>
      </c>
      <c r="I204" s="4" t="s">
        <v>23</v>
      </c>
    </row>
    <row r="205" ht="34" customHeight="1" spans="1:9" x14ac:dyDescent="0.25">
      <c r="A205" s="3" t="s">
        <v>511</v>
      </c>
      <c r="B205" s="4" t="s">
        <v>492</v>
      </c>
      <c r="C205" s="3" t="s">
        <v>111</v>
      </c>
      <c r="D205" s="4" t="s">
        <v>512</v>
      </c>
      <c r="E205" s="3" t="s">
        <v>7</v>
      </c>
      <c r="F205" s="3" t="s">
        <v>22</v>
      </c>
      <c r="G205" s="4" t="s">
        <v>23</v>
      </c>
      <c r="H205" s="4" t="s">
        <v>23</v>
      </c>
      <c r="I205" s="4" t="s">
        <v>23</v>
      </c>
    </row>
    <row r="206" ht="34" customHeight="1" spans="1:9" x14ac:dyDescent="0.25">
      <c r="A206" s="3" t="s">
        <v>513</v>
      </c>
      <c r="B206" s="4" t="s">
        <v>492</v>
      </c>
      <c r="C206" s="3" t="s">
        <v>111</v>
      </c>
      <c r="D206" s="4" t="s">
        <v>514</v>
      </c>
      <c r="E206" s="3" t="s">
        <v>7</v>
      </c>
      <c r="F206" s="3" t="s">
        <v>22</v>
      </c>
      <c r="G206" s="4" t="s">
        <v>23</v>
      </c>
      <c r="H206" s="4" t="s">
        <v>23</v>
      </c>
      <c r="I206" s="4" t="s">
        <v>23</v>
      </c>
    </row>
    <row r="207" ht="48" customHeight="1" spans="1:9" x14ac:dyDescent="0.25">
      <c r="A207" s="3" t="s">
        <v>515</v>
      </c>
      <c r="B207" s="4" t="s">
        <v>492</v>
      </c>
      <c r="C207" s="3" t="s">
        <v>111</v>
      </c>
      <c r="D207" s="4" t="s">
        <v>516</v>
      </c>
      <c r="E207" s="3" t="s">
        <v>7</v>
      </c>
      <c r="F207" s="3" t="s">
        <v>22</v>
      </c>
      <c r="G207" s="4" t="s">
        <v>23</v>
      </c>
      <c r="H207" s="4" t="s">
        <v>23</v>
      </c>
      <c r="I207" s="4" t="s">
        <v>23</v>
      </c>
    </row>
    <row r="208" ht="34" customHeight="1" spans="1:9" x14ac:dyDescent="0.25">
      <c r="A208" s="3" t="s">
        <v>519</v>
      </c>
      <c r="B208" s="4" t="s">
        <v>492</v>
      </c>
      <c r="C208" s="3" t="s">
        <v>111</v>
      </c>
      <c r="D208" s="4" t="s">
        <v>520</v>
      </c>
      <c r="E208" s="3" t="s">
        <v>7</v>
      </c>
      <c r="F208" s="3" t="s">
        <v>22</v>
      </c>
      <c r="G208" s="4" t="s">
        <v>23</v>
      </c>
      <c r="H208" s="4" t="s">
        <v>23</v>
      </c>
      <c r="I208" s="4" t="s">
        <v>23</v>
      </c>
    </row>
    <row r="209" ht="62" customHeight="1" spans="1:9" x14ac:dyDescent="0.25">
      <c r="A209" s="3" t="s">
        <v>521</v>
      </c>
      <c r="B209" s="4" t="s">
        <v>492</v>
      </c>
      <c r="C209" s="3" t="s">
        <v>111</v>
      </c>
      <c r="D209" s="4" t="s">
        <v>523</v>
      </c>
      <c r="E209" s="3" t="s">
        <v>7</v>
      </c>
      <c r="F209" s="3" t="s">
        <v>22</v>
      </c>
      <c r="G209" s="4" t="s">
        <v>23</v>
      </c>
      <c r="H209" s="4" t="s">
        <v>23</v>
      </c>
      <c r="I209" s="4" t="s">
        <v>23</v>
      </c>
    </row>
    <row r="210" ht="48" customHeight="1" spans="1:9" x14ac:dyDescent="0.25">
      <c r="A210" s="3" t="s">
        <v>524</v>
      </c>
      <c r="B210" s="4" t="s">
        <v>492</v>
      </c>
      <c r="C210" s="3" t="s">
        <v>111</v>
      </c>
      <c r="D210" s="4" t="s">
        <v>525</v>
      </c>
      <c r="E210" s="3" t="s">
        <v>7</v>
      </c>
      <c r="F210" s="3" t="s">
        <v>22</v>
      </c>
      <c r="G210" s="4" t="s">
        <v>23</v>
      </c>
      <c r="H210" s="4" t="s">
        <v>23</v>
      </c>
      <c r="I210" s="4" t="s">
        <v>23</v>
      </c>
    </row>
    <row r="211" ht="34" customHeight="1" spans="1:9" x14ac:dyDescent="0.25">
      <c r="A211" s="3" t="s">
        <v>526</v>
      </c>
      <c r="B211" s="4" t="s">
        <v>492</v>
      </c>
      <c r="C211" s="3" t="s">
        <v>111</v>
      </c>
      <c r="D211" s="4" t="s">
        <v>527</v>
      </c>
      <c r="E211" s="3" t="s">
        <v>7</v>
      </c>
      <c r="F211" s="3" t="s">
        <v>22</v>
      </c>
      <c r="G211" s="4" t="s">
        <v>23</v>
      </c>
      <c r="H211" s="4" t="s">
        <v>23</v>
      </c>
      <c r="I211" s="4" t="s">
        <v>23</v>
      </c>
    </row>
    <row r="212" ht="48" customHeight="1" spans="1:9" x14ac:dyDescent="0.25">
      <c r="A212" s="3" t="s">
        <v>528</v>
      </c>
      <c r="B212" s="4" t="s">
        <v>492</v>
      </c>
      <c r="C212" s="3" t="s">
        <v>18</v>
      </c>
      <c r="D212" s="4" t="s">
        <v>530</v>
      </c>
      <c r="E212" s="3" t="s">
        <v>7</v>
      </c>
      <c r="F212" s="3" t="s">
        <v>22</v>
      </c>
      <c r="G212" s="4" t="s">
        <v>23</v>
      </c>
      <c r="H212" s="4" t="s">
        <v>23</v>
      </c>
      <c r="I212" s="4" t="s">
        <v>23</v>
      </c>
    </row>
    <row r="213" ht="48" customHeight="1" spans="1:9" x14ac:dyDescent="0.25">
      <c r="A213" s="3" t="s">
        <v>531</v>
      </c>
      <c r="B213" s="4" t="s">
        <v>492</v>
      </c>
      <c r="C213" s="3" t="s">
        <v>111</v>
      </c>
      <c r="D213" s="4" t="s">
        <v>532</v>
      </c>
      <c r="E213" s="3" t="s">
        <v>7</v>
      </c>
      <c r="F213" s="3" t="s">
        <v>22</v>
      </c>
      <c r="G213" s="4" t="s">
        <v>23</v>
      </c>
      <c r="H213" s="4" t="s">
        <v>23</v>
      </c>
      <c r="I213" s="4" t="s">
        <v>23</v>
      </c>
    </row>
    <row r="214" ht="34" customHeight="1" spans="1:9" x14ac:dyDescent="0.25">
      <c r="A214" s="3" t="s">
        <v>547</v>
      </c>
      <c r="B214" s="4" t="s">
        <v>492</v>
      </c>
      <c r="C214" s="3" t="s">
        <v>111</v>
      </c>
      <c r="D214" s="4" t="s">
        <v>548</v>
      </c>
      <c r="E214" s="3" t="s">
        <v>7</v>
      </c>
      <c r="F214" s="3" t="s">
        <v>22</v>
      </c>
      <c r="G214" s="4" t="s">
        <v>23</v>
      </c>
      <c r="H214" s="4" t="s">
        <v>23</v>
      </c>
      <c r="I214" s="4" t="s">
        <v>23</v>
      </c>
    </row>
    <row r="215" ht="34" customHeight="1" spans="1:9" x14ac:dyDescent="0.25">
      <c r="A215" s="3" t="s">
        <v>549</v>
      </c>
      <c r="B215" s="4" t="s">
        <v>492</v>
      </c>
      <c r="C215" s="3" t="s">
        <v>111</v>
      </c>
      <c r="D215" s="4" t="s">
        <v>550</v>
      </c>
      <c r="E215" s="3" t="s">
        <v>7</v>
      </c>
      <c r="F215" s="3" t="s">
        <v>22</v>
      </c>
      <c r="G215" s="4" t="s">
        <v>23</v>
      </c>
      <c r="H215" s="4" t="s">
        <v>23</v>
      </c>
      <c r="I215" s="4" t="s">
        <v>23</v>
      </c>
    </row>
    <row r="216" ht="48" customHeight="1" spans="1:9" x14ac:dyDescent="0.25">
      <c r="A216" s="3" t="s">
        <v>557</v>
      </c>
      <c r="B216" s="4" t="s">
        <v>552</v>
      </c>
      <c r="C216" s="3" t="s">
        <v>79</v>
      </c>
      <c r="D216" s="4" t="s">
        <v>558</v>
      </c>
      <c r="E216" s="3" t="s">
        <v>7</v>
      </c>
      <c r="F216" s="3" t="s">
        <v>22</v>
      </c>
      <c r="G216" s="4" t="s">
        <v>23</v>
      </c>
      <c r="H216" s="4" t="s">
        <v>23</v>
      </c>
      <c r="I216" s="4" t="s">
        <v>23</v>
      </c>
    </row>
    <row r="217" ht="48" customHeight="1" spans="1:9" x14ac:dyDescent="0.25">
      <c r="A217" s="3" t="s">
        <v>559</v>
      </c>
      <c r="B217" s="4" t="s">
        <v>552</v>
      </c>
      <c r="C217" s="3" t="s">
        <v>79</v>
      </c>
      <c r="D217" s="4" t="s">
        <v>560</v>
      </c>
      <c r="E217" s="3" t="s">
        <v>7</v>
      </c>
      <c r="F217" s="3" t="s">
        <v>22</v>
      </c>
      <c r="G217" s="4" t="s">
        <v>23</v>
      </c>
      <c r="H217" s="4" t="s">
        <v>23</v>
      </c>
      <c r="I217" s="4" t="s">
        <v>23</v>
      </c>
    </row>
    <row r="218" ht="48" customHeight="1" spans="1:9" x14ac:dyDescent="0.25">
      <c r="A218" s="3" t="s">
        <v>561</v>
      </c>
      <c r="B218" s="4" t="s">
        <v>552</v>
      </c>
      <c r="C218" s="3" t="s">
        <v>79</v>
      </c>
      <c r="D218" s="4" t="s">
        <v>562</v>
      </c>
      <c r="E218" s="3" t="s">
        <v>7</v>
      </c>
      <c r="F218" s="3" t="s">
        <v>22</v>
      </c>
      <c r="G218" s="4" t="s">
        <v>23</v>
      </c>
      <c r="H218" s="4" t="s">
        <v>23</v>
      </c>
      <c r="I218" s="4" t="s">
        <v>23</v>
      </c>
    </row>
    <row r="219" ht="48" customHeight="1" spans="1:9" x14ac:dyDescent="0.25">
      <c r="A219" s="3" t="s">
        <v>568</v>
      </c>
      <c r="B219" s="4" t="s">
        <v>552</v>
      </c>
      <c r="C219" s="3" t="s">
        <v>79</v>
      </c>
      <c r="D219" s="4" t="s">
        <v>569</v>
      </c>
      <c r="E219" s="3" t="s">
        <v>7</v>
      </c>
      <c r="F219" s="3" t="s">
        <v>22</v>
      </c>
      <c r="G219" s="4" t="s">
        <v>23</v>
      </c>
      <c r="H219" s="4" t="s">
        <v>23</v>
      </c>
      <c r="I219" s="4" t="s">
        <v>23</v>
      </c>
    </row>
    <row r="220" ht="48" customHeight="1" spans="1:9" x14ac:dyDescent="0.25">
      <c r="A220" s="3" t="s">
        <v>570</v>
      </c>
      <c r="B220" s="4" t="s">
        <v>552</v>
      </c>
      <c r="C220" s="3" t="s">
        <v>79</v>
      </c>
      <c r="D220" s="4" t="s">
        <v>571</v>
      </c>
      <c r="E220" s="3" t="s">
        <v>7</v>
      </c>
      <c r="F220" s="3" t="s">
        <v>22</v>
      </c>
      <c r="G220" s="4" t="s">
        <v>23</v>
      </c>
      <c r="H220" s="4" t="s">
        <v>23</v>
      </c>
      <c r="I220" s="4" t="s">
        <v>23</v>
      </c>
    </row>
    <row r="221" ht="48" customHeight="1" spans="1:9" x14ac:dyDescent="0.25">
      <c r="A221" s="3" t="s">
        <v>572</v>
      </c>
      <c r="B221" s="4" t="s">
        <v>552</v>
      </c>
      <c r="C221" s="3" t="s">
        <v>79</v>
      </c>
      <c r="D221" s="4" t="s">
        <v>573</v>
      </c>
      <c r="E221" s="3" t="s">
        <v>7</v>
      </c>
      <c r="F221" s="3" t="s">
        <v>22</v>
      </c>
      <c r="G221" s="4" t="s">
        <v>23</v>
      </c>
      <c r="H221" s="4" t="s">
        <v>23</v>
      </c>
      <c r="I221" s="4" t="s">
        <v>23</v>
      </c>
    </row>
    <row r="222" ht="48" customHeight="1" spans="1:9" x14ac:dyDescent="0.25">
      <c r="A222" s="3" t="s">
        <v>574</v>
      </c>
      <c r="B222" s="4" t="s">
        <v>552</v>
      </c>
      <c r="C222" s="3" t="s">
        <v>79</v>
      </c>
      <c r="D222" s="4" t="s">
        <v>576</v>
      </c>
      <c r="E222" s="3" t="s">
        <v>7</v>
      </c>
      <c r="F222" s="3" t="s">
        <v>22</v>
      </c>
      <c r="G222" s="4" t="s">
        <v>23</v>
      </c>
      <c r="H222" s="4" t="s">
        <v>23</v>
      </c>
      <c r="I222" s="4" t="s">
        <v>23</v>
      </c>
    </row>
    <row r="223" ht="48" customHeight="1" spans="1:9" x14ac:dyDescent="0.25">
      <c r="A223" s="3" t="s">
        <v>577</v>
      </c>
      <c r="B223" s="4" t="s">
        <v>552</v>
      </c>
      <c r="C223" s="3" t="s">
        <v>79</v>
      </c>
      <c r="D223" s="4" t="s">
        <v>578</v>
      </c>
      <c r="E223" s="3" t="s">
        <v>7</v>
      </c>
      <c r="F223" s="3" t="s">
        <v>22</v>
      </c>
      <c r="G223" s="4" t="s">
        <v>23</v>
      </c>
      <c r="H223" s="4" t="s">
        <v>23</v>
      </c>
      <c r="I223" s="4" t="s">
        <v>23</v>
      </c>
    </row>
    <row r="224" ht="48" customHeight="1" spans="1:9" x14ac:dyDescent="0.25">
      <c r="A224" s="3" t="s">
        <v>584</v>
      </c>
      <c r="B224" s="4" t="s">
        <v>552</v>
      </c>
      <c r="C224" s="3" t="s">
        <v>76</v>
      </c>
      <c r="D224" s="4" t="s">
        <v>585</v>
      </c>
      <c r="E224" s="3" t="s">
        <v>7</v>
      </c>
      <c r="F224" s="3" t="s">
        <v>22</v>
      </c>
      <c r="G224" s="4" t="s">
        <v>23</v>
      </c>
      <c r="H224" s="4" t="s">
        <v>23</v>
      </c>
      <c r="I224" s="4" t="s">
        <v>23</v>
      </c>
    </row>
    <row r="225" ht="48" customHeight="1" spans="1:9" x14ac:dyDescent="0.25">
      <c r="A225" s="3" t="s">
        <v>588</v>
      </c>
      <c r="B225" s="4" t="s">
        <v>552</v>
      </c>
      <c r="C225" s="3" t="s">
        <v>76</v>
      </c>
      <c r="D225" s="4" t="s">
        <v>589</v>
      </c>
      <c r="E225" s="3" t="s">
        <v>7</v>
      </c>
      <c r="F225" s="3" t="s">
        <v>22</v>
      </c>
      <c r="G225" s="4" t="s">
        <v>23</v>
      </c>
      <c r="H225" s="4" t="s">
        <v>23</v>
      </c>
      <c r="I225" s="4" t="s">
        <v>23</v>
      </c>
    </row>
    <row r="226" ht="48" customHeight="1" spans="1:9" x14ac:dyDescent="0.25">
      <c r="A226" s="3" t="s">
        <v>590</v>
      </c>
      <c r="B226" s="4" t="s">
        <v>552</v>
      </c>
      <c r="C226" s="3" t="s">
        <v>111</v>
      </c>
      <c r="D226" s="4" t="s">
        <v>591</v>
      </c>
      <c r="E226" s="3" t="s">
        <v>7</v>
      </c>
      <c r="F226" s="3" t="s">
        <v>22</v>
      </c>
      <c r="G226" s="4" t="s">
        <v>23</v>
      </c>
      <c r="H226" s="4" t="s">
        <v>23</v>
      </c>
      <c r="I226" s="4" t="s">
        <v>23</v>
      </c>
    </row>
    <row r="227" ht="48" customHeight="1" spans="1:9" x14ac:dyDescent="0.25">
      <c r="A227" s="3" t="s">
        <v>592</v>
      </c>
      <c r="B227" s="4" t="s">
        <v>552</v>
      </c>
      <c r="C227" s="3" t="s">
        <v>111</v>
      </c>
      <c r="D227" s="4" t="s">
        <v>594</v>
      </c>
      <c r="E227" s="3" t="s">
        <v>7</v>
      </c>
      <c r="F227" s="3" t="s">
        <v>22</v>
      </c>
      <c r="G227" s="4" t="s">
        <v>23</v>
      </c>
      <c r="H227" s="4" t="s">
        <v>23</v>
      </c>
      <c r="I227" s="4" t="s">
        <v>23</v>
      </c>
    </row>
    <row r="228" ht="48" customHeight="1" spans="1:9" x14ac:dyDescent="0.25">
      <c r="A228" s="3" t="s">
        <v>595</v>
      </c>
      <c r="B228" s="4" t="s">
        <v>552</v>
      </c>
      <c r="C228" s="3" t="s">
        <v>111</v>
      </c>
      <c r="D228" s="4" t="s">
        <v>596</v>
      </c>
      <c r="E228" s="3" t="s">
        <v>7</v>
      </c>
      <c r="F228" s="3" t="s">
        <v>22</v>
      </c>
      <c r="G228" s="4" t="s">
        <v>23</v>
      </c>
      <c r="H228" s="4" t="s">
        <v>23</v>
      </c>
      <c r="I228" s="4" t="s">
        <v>23</v>
      </c>
    </row>
    <row r="229" ht="62" customHeight="1" spans="1:9" x14ac:dyDescent="0.25">
      <c r="A229" s="3" t="s">
        <v>597</v>
      </c>
      <c r="B229" s="4" t="s">
        <v>552</v>
      </c>
      <c r="C229" s="3" t="s">
        <v>79</v>
      </c>
      <c r="D229" s="4" t="s">
        <v>599</v>
      </c>
      <c r="E229" s="3" t="s">
        <v>7</v>
      </c>
      <c r="F229" s="3" t="s">
        <v>22</v>
      </c>
      <c r="G229" s="4" t="s">
        <v>23</v>
      </c>
      <c r="H229" s="4" t="s">
        <v>23</v>
      </c>
      <c r="I229" s="4" t="s">
        <v>23</v>
      </c>
    </row>
    <row r="230" ht="62" customHeight="1" spans="1:9" x14ac:dyDescent="0.25">
      <c r="A230" s="3" t="s">
        <v>600</v>
      </c>
      <c r="B230" s="4" t="s">
        <v>552</v>
      </c>
      <c r="C230" s="3" t="s">
        <v>79</v>
      </c>
      <c r="D230" s="4" t="s">
        <v>601</v>
      </c>
      <c r="E230" s="3" t="s">
        <v>7</v>
      </c>
      <c r="F230" s="3" t="s">
        <v>22</v>
      </c>
      <c r="G230" s="4" t="s">
        <v>23</v>
      </c>
      <c r="H230" s="4" t="s">
        <v>23</v>
      </c>
      <c r="I230" s="4" t="s">
        <v>23</v>
      </c>
    </row>
  </sheetData>
  <autoFilter ref="A3:I230"/>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FormatPr defaultRowHeight="15" outlineLevelRow="0" outlineLevelCol="0" x14ac:dyDescent="55"/>
  <cols>
    <col min="1" max="1" width="12" customWidth="1"/>
    <col min="2" max="2" width="14" customWidth="1"/>
    <col min="3" max="3" width="40" customWidth="1"/>
    <col min="4" max="4" width="30" customWidth="1"/>
    <col min="5" max="7" width="10" customWidth="1"/>
  </cols>
  <sheetData>
    <row r="1" spans="1:1" x14ac:dyDescent="0.25">
      <c r="A1" s="7" t="s">
        <v>642</v>
      </c>
    </row>
    <row r="2" spans="1:1" x14ac:dyDescent="0.25">
      <c r="A2" s="8" t="s">
        <v>643</v>
      </c>
    </row>
    <row r="4" spans="1:1" x14ac:dyDescent="0.25">
      <c r="A4" s="14" t="s">
        <v>628</v>
      </c>
    </row>
    <row r="5" ht="30" customHeight="1" spans="1:7" x14ac:dyDescent="0.25">
      <c r="A5" s="1" t="s">
        <v>628</v>
      </c>
      <c r="B5" s="1"/>
      <c r="C5" s="1" t="s">
        <v>644</v>
      </c>
      <c r="D5" s="1" t="s">
        <v>645</v>
      </c>
      <c r="E5" s="1" t="s">
        <v>6</v>
      </c>
      <c r="F5" s="1" t="s">
        <v>621</v>
      </c>
      <c r="G5" s="1" t="s">
        <v>622</v>
      </c>
    </row>
    <row r="6" ht="48" customHeight="1" spans="1:7" x14ac:dyDescent="0.25">
      <c r="A6" s="4" t="s">
        <v>18</v>
      </c>
      <c r="B6" s="4"/>
      <c r="C6" s="4" t="s">
        <v>646</v>
      </c>
      <c r="D6" s="4" t="s">
        <v>647</v>
      </c>
      <c r="E6" s="10">
        <f>COUNTIFS('Assessment Sheet'!$D$2:$D$241,$A6,'Assessment Sheet'!$F$2:$F$241,"L1")</f>
        <v>7</v>
      </c>
      <c r="F6" s="10">
        <f>COUNTIFS('Assessment Sheet'!$D$2:$D$241,$A6,'Assessment Sheet'!$F$2:$F$241,"L2")</f>
        <v>12</v>
      </c>
      <c r="G6" s="10">
        <f>COUNTIFS('Assessment Sheet'!$D$2:$D$241,$A6,'Assessment Sheet'!$F$2:$F$241,"L3")</f>
        <v>3</v>
      </c>
    </row>
    <row r="7" ht="62" customHeight="1" spans="1:7" x14ac:dyDescent="0.25">
      <c r="A7" s="4" t="s">
        <v>32</v>
      </c>
      <c r="B7" s="4"/>
      <c r="C7" s="4" t="s">
        <v>648</v>
      </c>
      <c r="D7" s="4" t="s">
        <v>649</v>
      </c>
      <c r="E7" s="10">
        <f>COUNTIFS('Assessment Sheet'!$D$2:$D$241,$A7,'Assessment Sheet'!$F$2:$F$241,"L1")</f>
        <v>8</v>
      </c>
      <c r="F7" s="10">
        <f>COUNTIFS('Assessment Sheet'!$D$2:$D$241,$A7,'Assessment Sheet'!$F$2:$F$241,"L2")</f>
        <v>10</v>
      </c>
      <c r="G7" s="10">
        <f>COUNTIFS('Assessment Sheet'!$D$2:$D$241,$A7,'Assessment Sheet'!$F$2:$F$241,"L3")</f>
        <v>0</v>
      </c>
    </row>
    <row r="8" ht="48" customHeight="1" spans="1:7" x14ac:dyDescent="0.25">
      <c r="A8" s="4" t="s">
        <v>62</v>
      </c>
      <c r="B8" s="4"/>
      <c r="C8" s="4" t="s">
        <v>650</v>
      </c>
      <c r="D8" s="4" t="s">
        <v>651</v>
      </c>
      <c r="E8" s="10">
        <f>COUNTIFS('Assessment Sheet'!$D$2:$D$241,$A8,'Assessment Sheet'!$F$2:$F$241,"L1")</f>
        <v>18</v>
      </c>
      <c r="F8" s="10">
        <f>COUNTIFS('Assessment Sheet'!$D$2:$D$241,$A8,'Assessment Sheet'!$F$2:$F$241,"L2")</f>
        <v>28</v>
      </c>
      <c r="G8" s="10">
        <f>COUNTIFS('Assessment Sheet'!$D$2:$D$241,$A8,'Assessment Sheet'!$F$2:$F$241,"L3")</f>
        <v>2</v>
      </c>
    </row>
    <row r="9" ht="48" customHeight="1" spans="1:7" x14ac:dyDescent="0.25">
      <c r="A9" s="4" t="s">
        <v>76</v>
      </c>
      <c r="B9" s="4"/>
      <c r="C9" s="4" t="s">
        <v>652</v>
      </c>
      <c r="D9" s="4" t="s">
        <v>647</v>
      </c>
      <c r="E9" s="10">
        <f>COUNTIFS('Assessment Sheet'!$D$2:$D$241,$A9,'Assessment Sheet'!$F$2:$F$241,"L1")</f>
        <v>12</v>
      </c>
      <c r="F9" s="10">
        <f>COUNTIFS('Assessment Sheet'!$D$2:$D$241,$A9,'Assessment Sheet'!$F$2:$F$241,"L2")</f>
        <v>12</v>
      </c>
      <c r="G9" s="10">
        <f>COUNTIFS('Assessment Sheet'!$D$2:$D$241,$A9,'Assessment Sheet'!$F$2:$F$241,"L3")</f>
        <v>5</v>
      </c>
    </row>
    <row r="10" ht="48" customHeight="1" spans="1:7" x14ac:dyDescent="0.25">
      <c r="A10" s="4" t="s">
        <v>65</v>
      </c>
      <c r="B10" s="4"/>
      <c r="C10" s="4" t="s">
        <v>653</v>
      </c>
      <c r="D10" s="4" t="s">
        <v>647</v>
      </c>
      <c r="E10" s="10">
        <f>COUNTIFS('Assessment Sheet'!$D$2:$D$241,$A10,'Assessment Sheet'!$F$2:$F$241,"L1")</f>
        <v>16</v>
      </c>
      <c r="F10" s="10">
        <f>COUNTIFS('Assessment Sheet'!$D$2:$D$241,$A10,'Assessment Sheet'!$F$2:$F$241,"L2")</f>
        <v>16</v>
      </c>
      <c r="G10" s="10">
        <f>COUNTIFS('Assessment Sheet'!$D$2:$D$241,$A10,'Assessment Sheet'!$F$2:$F$241,"L3")</f>
        <v>0</v>
      </c>
    </row>
    <row r="11" ht="48" customHeight="1" spans="1:7" x14ac:dyDescent="0.25">
      <c r="A11" s="4" t="s">
        <v>51</v>
      </c>
      <c r="B11" s="4"/>
      <c r="C11" s="4" t="s">
        <v>654</v>
      </c>
      <c r="D11" s="4" t="s">
        <v>655</v>
      </c>
      <c r="E11" s="10">
        <f>COUNTIFS('Assessment Sheet'!$D$2:$D$241,$A11,'Assessment Sheet'!$F$2:$F$241,"L1")</f>
        <v>2</v>
      </c>
      <c r="F11" s="10">
        <f>COUNTIFS('Assessment Sheet'!$D$2:$D$241,$A11,'Assessment Sheet'!$F$2:$F$241,"L2")</f>
        <v>2</v>
      </c>
      <c r="G11" s="10">
        <f>COUNTIFS('Assessment Sheet'!$D$2:$D$241,$A11,'Assessment Sheet'!$F$2:$F$241,"L3")</f>
        <v>0</v>
      </c>
    </row>
    <row r="12" ht="48" customHeight="1" spans="1:7" x14ac:dyDescent="0.25">
      <c r="A12" s="4" t="s">
        <v>403</v>
      </c>
      <c r="B12" s="4"/>
      <c r="C12" s="4" t="s">
        <v>656</v>
      </c>
      <c r="D12" s="4" t="s">
        <v>657</v>
      </c>
      <c r="E12" s="10">
        <f>COUNTIFS('Assessment Sheet'!$D$2:$D$241,$A12,'Assessment Sheet'!$F$2:$F$241,"L1")</f>
        <v>3</v>
      </c>
      <c r="F12" s="10">
        <f>COUNTIFS('Assessment Sheet'!$D$2:$D$241,$A12,'Assessment Sheet'!$F$2:$F$241,"L2")</f>
        <v>11</v>
      </c>
      <c r="G12" s="10">
        <f>COUNTIFS('Assessment Sheet'!$D$2:$D$241,$A12,'Assessment Sheet'!$F$2:$F$241,"L3")</f>
        <v>0</v>
      </c>
    </row>
    <row r="13" ht="34" customHeight="1" spans="1:7" x14ac:dyDescent="0.25">
      <c r="A13" s="4" t="s">
        <v>232</v>
      </c>
      <c r="B13" s="4"/>
      <c r="C13" s="4" t="s">
        <v>658</v>
      </c>
      <c r="D13" s="4" t="s">
        <v>659</v>
      </c>
      <c r="E13" s="10">
        <f>COUNTIFS('Assessment Sheet'!$D$2:$D$241,$A13,'Assessment Sheet'!$F$2:$F$241,"L1")</f>
        <v>7</v>
      </c>
      <c r="F13" s="10">
        <f>COUNTIFS('Assessment Sheet'!$D$2:$D$241,$A13,'Assessment Sheet'!$F$2:$F$241,"L2")</f>
        <v>6</v>
      </c>
      <c r="G13" s="10">
        <f>COUNTIFS('Assessment Sheet'!$D$2:$D$241,$A13,'Assessment Sheet'!$F$2:$F$241,"L3")</f>
        <v>0</v>
      </c>
    </row>
    <row r="14" ht="34" customHeight="1" spans="1:7" x14ac:dyDescent="0.25">
      <c r="A14" s="4" t="s">
        <v>111</v>
      </c>
      <c r="B14" s="4"/>
      <c r="C14" s="4" t="s">
        <v>660</v>
      </c>
      <c r="D14" s="4" t="s">
        <v>647</v>
      </c>
      <c r="E14" s="10">
        <f>COUNTIFS('Assessment Sheet'!$D$2:$D$241,$A14,'Assessment Sheet'!$F$2:$F$241,"L1")</f>
        <v>13</v>
      </c>
      <c r="F14" s="10">
        <f>COUNTIFS('Assessment Sheet'!$D$2:$D$241,$A14,'Assessment Sheet'!$F$2:$F$241,"L2")</f>
        <v>26</v>
      </c>
      <c r="G14" s="10">
        <f>COUNTIFS('Assessment Sheet'!$D$2:$D$241,$A14,'Assessment Sheet'!$F$2:$F$241,"L3")</f>
        <v>1</v>
      </c>
    </row>
    <row r="15" ht="48" customHeight="1" spans="1:7" x14ac:dyDescent="0.25">
      <c r="A15" s="4" t="s">
        <v>79</v>
      </c>
      <c r="B15" s="4"/>
      <c r="C15" s="4" t="s">
        <v>661</v>
      </c>
      <c r="D15" s="4" t="s">
        <v>647</v>
      </c>
      <c r="E15" s="10">
        <f>COUNTIFS('Assessment Sheet'!$D$2:$D$241,$A15,'Assessment Sheet'!$F$2:$F$241,"L1")</f>
        <v>4</v>
      </c>
      <c r="F15" s="10">
        <f>COUNTIFS('Assessment Sheet'!$D$2:$D$241,$A15,'Assessment Sheet'!$F$2:$F$241,"L2")</f>
        <v>14</v>
      </c>
      <c r="G15" s="10">
        <f>COUNTIFS('Assessment Sheet'!$D$2:$D$241,$A15,'Assessment Sheet'!$F$2:$F$241,"L3")</f>
        <v>2</v>
      </c>
    </row>
    <row r="17" spans="1:1" x14ac:dyDescent="0.25">
      <c r="A17" s="8" t="s">
        <v>662</v>
      </c>
    </row>
    <row r="19" spans="1:1" x14ac:dyDescent="0.25">
      <c r="A19" s="14" t="s">
        <v>663</v>
      </c>
    </row>
    <row r="20" ht="30" customHeight="1" spans="1:7" x14ac:dyDescent="0.25">
      <c r="A20" s="1" t="s">
        <v>664</v>
      </c>
      <c r="B20" s="1" t="s">
        <v>665</v>
      </c>
      <c r="C20" s="1" t="s">
        <v>666</v>
      </c>
      <c r="D20" s="1" t="s">
        <v>667</v>
      </c>
      <c r="E20" s="1" t="s">
        <v>668</v>
      </c>
      <c r="F20" s="1"/>
      <c r="G20" s="1"/>
    </row>
    <row r="21" ht="34" customHeight="1" spans="1:7" x14ac:dyDescent="0.25">
      <c r="A21" s="10">
        <v>1</v>
      </c>
      <c r="B21" s="4" t="s">
        <v>669</v>
      </c>
      <c r="C21" s="4" t="s">
        <v>670</v>
      </c>
      <c r="D21" s="4" t="s">
        <v>671</v>
      </c>
      <c r="E21" s="4" t="s">
        <v>672</v>
      </c>
      <c r="F21" s="4"/>
      <c r="G21" s="4"/>
    </row>
    <row r="22" ht="34" customHeight="1" spans="1:7" x14ac:dyDescent="0.25">
      <c r="A22" s="10">
        <v>2</v>
      </c>
      <c r="B22" s="4" t="s">
        <v>673</v>
      </c>
      <c r="C22" s="4" t="s">
        <v>674</v>
      </c>
      <c r="D22" s="4" t="s">
        <v>675</v>
      </c>
      <c r="E22" s="4" t="s">
        <v>676</v>
      </c>
      <c r="F22" s="4"/>
      <c r="G22" s="4"/>
    </row>
    <row r="23" ht="34" customHeight="1" spans="1:7" x14ac:dyDescent="0.25">
      <c r="A23" s="10">
        <v>3</v>
      </c>
      <c r="B23" s="4" t="s">
        <v>677</v>
      </c>
      <c r="C23" s="4" t="s">
        <v>678</v>
      </c>
      <c r="D23" s="4" t="s">
        <v>679</v>
      </c>
      <c r="E23" s="4" t="s">
        <v>680</v>
      </c>
      <c r="F23" s="4"/>
      <c r="G23" s="4"/>
    </row>
    <row r="24" ht="34" customHeight="1" spans="1:7" x14ac:dyDescent="0.25">
      <c r="A24" s="10">
        <v>4</v>
      </c>
      <c r="B24" s="4" t="s">
        <v>681</v>
      </c>
      <c r="C24" s="4" t="s">
        <v>682</v>
      </c>
      <c r="D24" s="4" t="s">
        <v>683</v>
      </c>
      <c r="E24" s="4" t="s">
        <v>684</v>
      </c>
      <c r="F24" s="4"/>
      <c r="G24" s="4"/>
    </row>
    <row r="25" ht="48" customHeight="1" spans="1:7" x14ac:dyDescent="0.25">
      <c r="A25" s="10">
        <v>5</v>
      </c>
      <c r="B25" s="4" t="s">
        <v>685</v>
      </c>
      <c r="C25" s="4" t="s">
        <v>686</v>
      </c>
      <c r="D25" s="4" t="s">
        <v>675</v>
      </c>
      <c r="E25" s="4" t="s">
        <v>687</v>
      </c>
      <c r="F25" s="4"/>
      <c r="G25" s="4"/>
    </row>
    <row r="26" ht="34" customHeight="1" spans="1:7" x14ac:dyDescent="0.25">
      <c r="A26" s="10">
        <v>6</v>
      </c>
      <c r="B26" s="4" t="s">
        <v>688</v>
      </c>
      <c r="C26" s="4" t="s">
        <v>689</v>
      </c>
      <c r="D26" s="4" t="s">
        <v>65</v>
      </c>
      <c r="E26" s="4" t="s">
        <v>690</v>
      </c>
      <c r="F26" s="4"/>
      <c r="G26" s="4"/>
    </row>
    <row r="27" ht="62" customHeight="1" spans="1:7" x14ac:dyDescent="0.25">
      <c r="A27" s="10">
        <v>7</v>
      </c>
      <c r="B27" s="4" t="s">
        <v>691</v>
      </c>
      <c r="C27" s="4" t="s">
        <v>692</v>
      </c>
      <c r="D27" s="4" t="s">
        <v>51</v>
      </c>
      <c r="E27" s="4" t="s">
        <v>693</v>
      </c>
      <c r="F27" s="4"/>
      <c r="G27" s="4"/>
    </row>
    <row r="28" ht="34" customHeight="1" spans="1:7" x14ac:dyDescent="0.25">
      <c r="A28" s="10">
        <v>8</v>
      </c>
      <c r="B28" s="4" t="s">
        <v>694</v>
      </c>
      <c r="C28" s="4" t="s">
        <v>695</v>
      </c>
      <c r="D28" s="4" t="s">
        <v>62</v>
      </c>
      <c r="E28" s="4" t="s">
        <v>696</v>
      </c>
      <c r="F28" s="4"/>
      <c r="G28" s="4"/>
    </row>
    <row r="29" ht="34" customHeight="1" spans="1:7" x14ac:dyDescent="0.25">
      <c r="A29" s="10">
        <v>9</v>
      </c>
      <c r="B29" s="4" t="s">
        <v>697</v>
      </c>
      <c r="C29" s="4" t="s">
        <v>698</v>
      </c>
      <c r="D29" s="4" t="s">
        <v>699</v>
      </c>
      <c r="E29" s="4" t="s">
        <v>700</v>
      </c>
      <c r="F29" s="4"/>
      <c r="G29" s="4"/>
    </row>
    <row r="30" ht="48" customHeight="1" spans="1:7" x14ac:dyDescent="0.25">
      <c r="A30" s="10">
        <v>10</v>
      </c>
      <c r="B30" s="4" t="s">
        <v>701</v>
      </c>
      <c r="C30" s="4" t="s">
        <v>702</v>
      </c>
      <c r="D30" s="4" t="s">
        <v>79</v>
      </c>
      <c r="E30" s="4" t="s">
        <v>703</v>
      </c>
      <c r="F30" s="4"/>
      <c r="G30" s="4"/>
    </row>
  </sheetData>
  <mergeCells count="22">
    <mergeCell ref="A5:B5"/>
    <mergeCell ref="A6:B6"/>
    <mergeCell ref="A7:B7"/>
    <mergeCell ref="A8:B8"/>
    <mergeCell ref="A9:B9"/>
    <mergeCell ref="A10:B10"/>
    <mergeCell ref="A11:B11"/>
    <mergeCell ref="A12:B12"/>
    <mergeCell ref="A13:B13"/>
    <mergeCell ref="A14:B14"/>
    <mergeCell ref="A15:B15"/>
    <mergeCell ref="E20:G20"/>
    <mergeCell ref="E21:G21"/>
    <mergeCell ref="E22:G22"/>
    <mergeCell ref="E23:G23"/>
    <mergeCell ref="E24:G24"/>
    <mergeCell ref="E25:G25"/>
    <mergeCell ref="E26:G26"/>
    <mergeCell ref="E27:G27"/>
    <mergeCell ref="E28:G28"/>
    <mergeCell ref="E29:G29"/>
    <mergeCell ref="E30:G30"/>
  </mergeCell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1"/>
  <sheetFormatPr defaultRowHeight="15" outlineLevelRow="0" outlineLevelCol="0" x14ac:dyDescent="55"/>
  <cols>
    <col min="1" max="1" width="16" customWidth="1"/>
    <col min="2" max="2" width="96" customWidth="1"/>
  </cols>
  <sheetData>
    <row r="1" ht="26" customHeight="1" spans="1:1" x14ac:dyDescent="0.25">
      <c r="A1" s="19" t="s">
        <v>704</v>
      </c>
    </row>
    <row r="2" ht="48" customHeight="1" spans="1:2" x14ac:dyDescent="0.25">
      <c r="A2" s="20" t="s">
        <v>705</v>
      </c>
      <c r="B2" s="20" t="s">
        <v>706</v>
      </c>
    </row>
    <row r="3" ht="20" customHeight="1" spans="1:2" x14ac:dyDescent="0.25">
      <c r="A3" s="20" t="s">
        <v>707</v>
      </c>
      <c r="B3" s="21" t="s">
        <v>708</v>
      </c>
    </row>
    <row r="4" ht="34" customHeight="1" spans="1:2" x14ac:dyDescent="0.25">
      <c r="A4" s="20" t="s">
        <v>709</v>
      </c>
      <c r="B4" s="20" t="s">
        <v>710</v>
      </c>
    </row>
    <row r="5" ht="20" customHeight="1" spans="1:1" x14ac:dyDescent="0.25">
      <c r="A5" s="20" t="s">
        <v>23</v>
      </c>
    </row>
    <row r="6" ht="20" customHeight="1" spans="1:1" x14ac:dyDescent="0.25">
      <c r="A6" s="22" t="s">
        <v>711</v>
      </c>
    </row>
    <row r="7" ht="20" customHeight="1" spans="1:2" x14ac:dyDescent="0.25">
      <c r="A7" s="20" t="s">
        <v>712</v>
      </c>
      <c r="B7" s="6" t="s">
        <v>23</v>
      </c>
    </row>
    <row r="8" ht="20" customHeight="1" spans="1:2" x14ac:dyDescent="0.25">
      <c r="A8" s="20" t="s">
        <v>713</v>
      </c>
      <c r="B8" s="6" t="s">
        <v>23</v>
      </c>
    </row>
    <row r="9" ht="20" customHeight="1" spans="1:2" x14ac:dyDescent="0.25">
      <c r="A9" s="20" t="s">
        <v>714</v>
      </c>
      <c r="B9" s="6" t="s">
        <v>23</v>
      </c>
    </row>
    <row r="10" ht="20" customHeight="1" spans="1:2" x14ac:dyDescent="0.25">
      <c r="A10" s="20" t="s">
        <v>715</v>
      </c>
      <c r="B10" s="6" t="s">
        <v>23</v>
      </c>
    </row>
    <row r="11" ht="20" customHeight="1" spans="1:2" x14ac:dyDescent="0.25">
      <c r="A11" s="20" t="s">
        <v>606</v>
      </c>
      <c r="B11" s="20" t="s">
        <v>7</v>
      </c>
    </row>
    <row r="12" ht="20" customHeight="1" spans="1:1" x14ac:dyDescent="0.25">
      <c r="A12" s="20" t="s">
        <v>23</v>
      </c>
    </row>
    <row r="13" ht="20" customHeight="1" spans="1:1" x14ac:dyDescent="0.25">
      <c r="A13" s="22" t="s">
        <v>716</v>
      </c>
    </row>
    <row r="14" ht="34" customHeight="1" spans="1:2" x14ac:dyDescent="0.25">
      <c r="A14" s="20" t="s">
        <v>717</v>
      </c>
      <c r="B14" s="20" t="s">
        <v>718</v>
      </c>
    </row>
    <row r="15" ht="48" customHeight="1" spans="1:2" x14ac:dyDescent="0.25">
      <c r="A15" s="20" t="s">
        <v>10</v>
      </c>
      <c r="B15" s="20" t="s">
        <v>719</v>
      </c>
    </row>
    <row r="16" ht="34" customHeight="1" spans="1:2" x14ac:dyDescent="0.25">
      <c r="A16" s="20" t="s">
        <v>720</v>
      </c>
      <c r="B16" s="20" t="s">
        <v>721</v>
      </c>
    </row>
    <row r="17" ht="34" customHeight="1" spans="1:2" x14ac:dyDescent="0.25">
      <c r="A17" s="20" t="s">
        <v>722</v>
      </c>
      <c r="B17" s="20" t="s">
        <v>723</v>
      </c>
    </row>
    <row r="18" ht="20" customHeight="1" spans="1:1" x14ac:dyDescent="0.25">
      <c r="A18" s="20" t="s">
        <v>23</v>
      </c>
    </row>
    <row r="19" ht="20" customHeight="1" spans="1:1" x14ac:dyDescent="0.25">
      <c r="A19" s="22" t="s">
        <v>724</v>
      </c>
    </row>
    <row r="20" ht="34" customHeight="1" spans="1:2" x14ac:dyDescent="0.25">
      <c r="A20" s="20" t="s">
        <v>1</v>
      </c>
      <c r="B20" s="20" t="s">
        <v>725</v>
      </c>
    </row>
    <row r="21" ht="48" customHeight="1" spans="1:2" x14ac:dyDescent="0.25">
      <c r="A21" s="20" t="s">
        <v>3</v>
      </c>
      <c r="B21" s="20" t="s">
        <v>726</v>
      </c>
    </row>
  </sheetData>
  <hyperlinks>
    <hyperlink ref="B3" r:id="rId1"/>
  </hyperlink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Assessment Sheet</vt:lpstr>
      <vt:lpstr>Summary</vt:lpstr>
      <vt:lpstr>Gap List</vt:lpstr>
      <vt:lpstr>Architecture View</vt:lpstr>
      <vt:lpstr>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2026-10-11T05:01:16Z</dcterms:created>
  <dcterms:modified xsi:type="dcterms:W3CDTF">2026-10-11T05:01:16Z</dcterms:modified>
</cp:coreProperties>
</file>