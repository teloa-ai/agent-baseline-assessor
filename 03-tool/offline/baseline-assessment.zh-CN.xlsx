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评估表" state="visible" r:id="rId4"/>
    <sheet sheetId="2" name="汇总" state="visible" r:id="rId5"/>
    <sheet sheetId="3" name="差距清单" state="visible" r:id="rId6"/>
    <sheet sheetId="4" name="架构视角" state="visible" r:id="rId7"/>
    <sheet sheetId="5" name="说明" state="visible" r:id="rId8"/>
  </sheets>
  <definedNames>
    <definedName name="_xlnm.Print_Titles" localSheetId="0">'评估表'!$1:$1</definedName>
  </definedNames>
  <calcPr calcId="171027" fullCalcOnLoad="1"/>
</workbook>
</file>

<file path=xl/sharedStrings.xml><?xml version="1.0" encoding="utf-8"?>
<sst xmlns="http://schemas.openxmlformats.org/spreadsheetml/2006/main" count="5642" uniqueCount="727">
  <si>
    <t>编号</t>
  </si>
  <si>
    <t>章</t>
  </si>
  <si>
    <t>小节</t>
  </si>
  <si>
    <t>落点组件</t>
  </si>
  <si>
    <t>要求</t>
  </si>
  <si>
    <t>最低等级</t>
  </si>
  <si>
    <t>L1</t>
  </si>
  <si>
    <t>L2</t>
  </si>
  <si>
    <t>L3</t>
  </si>
  <si>
    <t>适用条件</t>
  </si>
  <si>
    <t>状态</t>
  </si>
  <si>
    <t>证据与说明</t>
  </si>
  <si>
    <t>负责人</t>
  </si>
  <si>
    <t>计划完成</t>
  </si>
  <si>
    <t>等级序号</t>
  </si>
  <si>
    <t>V1.1.1</t>
  </si>
  <si>
    <t>V1 身份与认证</t>
  </si>
  <si>
    <t>V1.1 用户认证</t>
  </si>
  <si>
    <t>身份层</t>
  </si>
  <si>
    <t>平台及其全部渠道应只允许通过企业 IdP（OIDC 或 SAML）登录，不提供独立的本地账号，V10.5 规定的紧急访问账号除外</t>
  </si>
  <si>
    <t>✓</t>
  </si>
  <si>
    <t>所有平台</t>
  </si>
  <si>
    <t>未评估</t>
  </si>
  <si>
    <t/>
  </si>
  <si>
    <t>V1.1.2</t>
  </si>
  <si>
    <t>应通过 SCIM 或等效机制同步用户和组，IdP 中禁用的用户在平台中同步禁用</t>
  </si>
  <si>
    <t>V1.1.3</t>
  </si>
  <si>
    <t>应在用户会话中保留 IdP 签发的认证时间和认证强度，供 V3.5 的二次认证判断使用</t>
  </si>
  <si>
    <t>V1.1.4</t>
  </si>
  <si>
    <t>通过 API 调用 Agent 的凭证（如 API Key、个人访问令牌）应绑定到企业 IdP 中的具体用户或非人类身份，设置到期时间和权限范围，身份禁用时同步失效</t>
  </si>
  <si>
    <t>V1.2.1</t>
  </si>
  <si>
    <t>V1.2 渠道身份映射</t>
  </si>
  <si>
    <t>交互渠道</t>
  </si>
  <si>
    <t>渠道账号应先通过一次 SSO 登录与企业身份绑定，才能调用 Agent</t>
  </si>
  <si>
    <t>支持 IM、邮件、浏览器插件等第三方渠道的平台</t>
  </si>
  <si>
    <t>V1.2.2</t>
  </si>
  <si>
    <t>应以 SSO 绑定结果作为渠道账号的唯一身份依据，不按昵称、显示名或邮箱字符串匹配；邮件渠道按 V1.2.6 执行</t>
  </si>
  <si>
    <t>V1.2.3</t>
  </si>
  <si>
    <t>IdP 禁用用户后，该用户的全部渠道绑定应同步失效</t>
  </si>
  <si>
    <t>V1.2.4</t>
  </si>
  <si>
    <t>应识别外部访客和跨组织共享频道中的账号，并为其单独限定可用的 Agent 和能力</t>
  </si>
  <si>
    <t>V1.2.5</t>
  </si>
  <si>
    <t>在渠道内触发高风险操作时，应要求用户通过企业 IdP 完成二次认证</t>
  </si>
  <si>
    <t>V1.2.6</t>
  </si>
  <si>
    <t>邮件渠道应只受理通过 DMARC 校验的邮件（SPF 或 DKIM 通过且与发件域对齐），外部域的发件人不能触发代表用户的操作</t>
  </si>
  <si>
    <t>V1.3.1</t>
  </si>
  <si>
    <t>V1.3 Agent 身份</t>
  </si>
  <si>
    <t>每个 Agent 应有平台签发的唯一身份标识，不采信 Agent 自报的身份</t>
  </si>
  <si>
    <t>V1.3.2</t>
  </si>
  <si>
    <t>应为自主 Agent 在企业目录中建立独立的非人类身份，不使用任何员工的个人账号</t>
  </si>
  <si>
    <t>V1.3.3</t>
  </si>
  <si>
    <t>下游系统</t>
  </si>
  <si>
    <t>自主 Agent 访问下游时应使用 V1.3.2 建立的身份，下游日志中记录的主体为该 Agent</t>
  </si>
  <si>
    <t>V1.3.4</t>
  </si>
  <si>
    <t>自主 Agent 访问下游应使用短时效令牌，不使用长期静态密钥</t>
  </si>
  <si>
    <t>V1.3.5</t>
  </si>
  <si>
    <t>自主 Agent 的密钥和证书应有签发、轮换和吊销流程，轮换周期设上限</t>
  </si>
  <si>
    <t>V1.4.1</t>
  </si>
  <si>
    <t>V1.4 工作负载身份</t>
  </si>
  <si>
    <t>平台应为每个会话的执行实例签发短期工作负载身份，并与该实例绑定</t>
  </si>
  <si>
    <t>为会话分配独立执行实例（如容器、沙箱或虚拟机）的平台</t>
  </si>
  <si>
    <t>V1.4.2</t>
  </si>
  <si>
    <t>Harness</t>
  </si>
  <si>
    <t>工作负载身份的凭证应对模型不可见，不进入上下文和工具返回</t>
  </si>
  <si>
    <t>V1.4.3</t>
  </si>
  <si>
    <t>出口网关</t>
  </si>
  <si>
    <t>出口网关应只依据工作负载身份确定用户和 Agent，忽略请求中自报的用户或 Agent 标识</t>
  </si>
  <si>
    <t>V1.4.4</t>
  </si>
  <si>
    <t>会话结束或执行实例销毁时，应立即吊销对应的工作负载身份</t>
  </si>
  <si>
    <t>V1.4.5</t>
  </si>
  <si>
    <t>平台签发工作负载身份前应对执行实例做工作负载证明（如 SPIFFE/SPIRE 的节点证明和工作负载证明），证明失败不签发</t>
  </si>
  <si>
    <t>V1.5.1</t>
  </si>
  <si>
    <t>V1.5 外部主体</t>
  </si>
  <si>
    <t>应通过身份联邦接入外部主体，不为其创建共享账号</t>
  </si>
  <si>
    <t>向客户或合作伙伴开放 Agent 能力的平台</t>
  </si>
  <si>
    <t>V1.5.2</t>
  </si>
  <si>
    <t>策略决策点</t>
  </si>
  <si>
    <t>外部主体应只能访问为其开放的工作空间和接口</t>
  </si>
  <si>
    <t>V1.5.3</t>
  </si>
  <si>
    <t>审计</t>
  </si>
  <si>
    <t>外部主体的调用应单独记录审计，可按外部组织筛选</t>
  </si>
  <si>
    <t>V2.1.1</t>
  </si>
  <si>
    <t>V2 委托与有效权限</t>
  </si>
  <si>
    <t>V2.1 代表用户访问</t>
  </si>
  <si>
    <t>用户在场时，Agent 访问下游应携带发起用户的身份，由下游按该用户作出授权判定；下游不支持用户级授权判定的按 V4.4 执行</t>
  </si>
  <si>
    <t>V2.1.2</t>
  </si>
  <si>
    <t>不应使用权限高于发起用户的共享凭证替用户访问下游，只支持共享静态凭证的下游按 V4.4 执行补偿控制</t>
  </si>
  <si>
    <t>V2.1.3</t>
  </si>
  <si>
    <t>下游令牌应同时标识发起用户和执行的 Agent（如 RFC 8693 的 act 声明）</t>
  </si>
  <si>
    <t>V2.2.1</t>
  </si>
  <si>
    <t>V2.2 有效权限</t>
  </si>
  <si>
    <t>每次调用的有效权限应取用户权限与 Agent 授权范围的交集</t>
  </si>
  <si>
    <t>V2.2.2</t>
  </si>
  <si>
    <t>有效权限应由策略决策点计算，不依赖系统提示词或模型的判断</t>
  </si>
  <si>
    <t>V2.2.3</t>
  </si>
  <si>
    <t>任务开始时应声明所需的工具和数据范围，运行中只授予声明范围内的权限；声明由用户或 Agent 配置给出，模型提出的范围须经用户确认后生效</t>
  </si>
  <si>
    <t>V2.2.4</t>
  </si>
  <si>
    <t>超出任务声明范围的调用应被拒绝或转为审批</t>
  </si>
  <si>
    <t>V2.2.5</t>
  </si>
  <si>
    <t>有效权限应在每次工具调用时重新计算，不沿用会话开始时的授权结果</t>
  </si>
  <si>
    <t>V2.2.6</t>
  </si>
  <si>
    <t>高风险操作的授权应细化到具体资源和参数（如用 RFC 9396 RAR 描述授权细节），不只授予粗粒度角色</t>
  </si>
  <si>
    <t>V2.3.1</t>
  </si>
  <si>
    <t>V2.3 离线委托任务</t>
  </si>
  <si>
    <t>离线委托任务应以创建用户为根，创建时固定权限上限，之后只能收窄</t>
  </si>
  <si>
    <t>支持定时任务或长时任务的平台</t>
  </si>
  <si>
    <t>V2.3.2</t>
  </si>
  <si>
    <t>每次运行前应复查创建用户的账号状态和当前权限</t>
  </si>
  <si>
    <t>V2.3.3</t>
  </si>
  <si>
    <t>调度器应只保存任务标识，不保存用户凭证或可直接使用的令牌</t>
  </si>
  <si>
    <t>V2.3.4</t>
  </si>
  <si>
    <t>管理面</t>
  </si>
  <si>
    <t>创建用户被禁用后，其离线委托任务应自动停止并通知该 Agent 的负责人</t>
  </si>
  <si>
    <t>V2.3.5</t>
  </si>
  <si>
    <t>创建用户离职或转岗后仍需继续运行的任务，应在其账号禁用前转为自主 Agent，并重新审批授权</t>
  </si>
  <si>
    <t>V2.3.6</t>
  </si>
  <si>
    <t>离线委托任务的授权应设到期时间，到期后需创建用户重新确认</t>
  </si>
  <si>
    <t>V2.4.1</t>
  </si>
  <si>
    <t>V2.4 Agent 间委托</t>
  </si>
  <si>
    <t>下游 Agent 的有效权限不应超过发起用户的权限与上游的委托范围，发起用户不能经由下游 Agent 获得其本人没有的权限</t>
  </si>
  <si>
    <t>支持多 Agent 协作或子 Agent 的平台</t>
  </si>
  <si>
    <t>V2.4.2</t>
  </si>
  <si>
    <t>Harness 派生的子 Agent，可用工具和权限应是父 Agent 的子集</t>
  </si>
  <si>
    <t>V2.4.3</t>
  </si>
  <si>
    <t>委托链应由平台构建和记录，不采信未经平台或可信授权服务器签名的身份声明</t>
  </si>
  <si>
    <t>V2.4.4</t>
  </si>
  <si>
    <t>应显式配置哪些 Agent 可以调用哪些 Agent，未配置的调用被拒绝</t>
  </si>
  <si>
    <t>V2.4.5</t>
  </si>
  <si>
    <t>应限制委托链深度，并检测和阻断循环调用</t>
  </si>
  <si>
    <t>V2.4.6</t>
  </si>
  <si>
    <t>多跳委托时，下游令牌应携带完整的执行者链（如 RFC 8693 中嵌套的 act 声明），使下游能据此授权</t>
  </si>
  <si>
    <t>V2.4.7</t>
  </si>
  <si>
    <t>在同一信任域内跨服务调用时，应沿调用链传递携带用户、Agent 和任务上下文的令牌（如 Transaction Token 草案），下游据此授权</t>
  </si>
  <si>
    <t>V2.5.1</t>
  </si>
  <si>
    <t>V2.5 用户间委托与临时提权</t>
  </si>
  <si>
    <t>用户允许他人代为使用自己的 Agent 时（如助理代主管），应显式登记委托关系，并限定范围和期限</t>
  </si>
  <si>
    <t>支持用户代他人使用 Agent，或支持 Agent 临时提权的平台</t>
  </si>
  <si>
    <t>V2.5.2</t>
  </si>
  <si>
    <t>代为操作时，审计应同时记录委托人和实际操作人</t>
  </si>
  <si>
    <t>V2.5.3</t>
  </si>
  <si>
    <t>Agent 需要超出其授权范围的权限时，应经申请和审批限时授予，到期自动收回</t>
  </si>
  <si>
    <t>V2.6.1</t>
  </si>
  <si>
    <t>V2.6 事件触发授权</t>
  </si>
  <si>
    <t>入站事件应校验签名和来源，未通过校验的事件被拒绝</t>
  </si>
  <si>
    <t>支持 Webhook、告警、工单等事件触发 Agent 的平台</t>
  </si>
  <si>
    <t>V2.6.2</t>
  </si>
  <si>
    <t>每条触发规则应绑定执行身份，即自主 Agent 的身份或规则配置人的身份</t>
  </si>
  <si>
    <t>V2.6.3</t>
  </si>
  <si>
    <t>触发规则的创建和修改应记录审计，并标明配置人</t>
  </si>
  <si>
    <t>V3.1.1</t>
  </si>
  <si>
    <t>V3 授权决策</t>
  </si>
  <si>
    <t>V3.1 操作风险分级</t>
  </si>
  <si>
    <t>应为每个工具标注操作类别（至少区分读取、写入、删除、外发、资金操作和生产变更）和风险等级</t>
  </si>
  <si>
    <t>V3.1.2</t>
  </si>
  <si>
    <t>风险等级应由平台按工具和参数判定，不采用模型给出的风险评估</t>
  </si>
  <si>
    <t>V3.1.3</t>
  </si>
  <si>
    <t>每个风险等级应对应确定的处置方式，如自动执行、事后通知、事前审批、二次认证或拒绝</t>
  </si>
  <si>
    <t>V3.1.4</t>
  </si>
  <si>
    <t>同一工具在影响范围不同的参数下（如删除 1 条与批量删除）应能落入不同等级</t>
  </si>
  <si>
    <t>V3.2.1</t>
  </si>
  <si>
    <t>V3.2 工具调用前置校验</t>
  </si>
  <si>
    <t>每次工具调用执行前都应经过策略检查，检查在 Agent 无法修改的组件中执行（平台托管的 Harness、策略决策点或出口网关）；授权决定不采用被检查 Agent 所用模型的输出</t>
  </si>
  <si>
    <t>V3.2.2</t>
  </si>
  <si>
    <t>安全约束应由策略执行点（Harness 或出口网关）按策略决策点的决定强制执行，不能只写在系统提示词里</t>
  </si>
  <si>
    <t>V3.2.3</t>
  </si>
  <si>
    <t>前置检查的策略和钩子应由平台下发，Agent 自身不能修改或绕过</t>
  </si>
  <si>
    <t>V3.2.4</t>
  </si>
  <si>
    <t>策略检查出错或超时时应默认拒绝</t>
  </si>
  <si>
    <t>V3.2.5</t>
  </si>
  <si>
    <t>策略决策点应通过标准化授权接口（如 OpenID AuthZEN）与策略执行点交互，便于替换策略引擎</t>
  </si>
  <si>
    <t>V3.3.1</t>
  </si>
  <si>
    <t>V3.3 工具暴露面</t>
  </si>
  <si>
    <t>交给模型的工具清单应按当前有效权限过滤，模型看不到无权使用的工具</t>
  </si>
  <si>
    <t>V3.3.2</t>
  </si>
  <si>
    <t>工具清单裁剪之外，执行前仍应按 V3.2 校验</t>
  </si>
  <si>
    <t>V3.4.1</t>
  </si>
  <si>
    <t>V3.4 人工审批</t>
  </si>
  <si>
    <t>高风险操作应在执行前取得有权批准该操作的人批准；未列入双人控制的操作可由发起用户本人批准</t>
  </si>
  <si>
    <t>V3.4.2</t>
  </si>
  <si>
    <t>审批内容应由平台根据真实调用参数生成，不使用模型撰写的摘要</t>
  </si>
  <si>
    <t>V3.4.3</t>
  </si>
  <si>
    <t>执行时应校验实际参数与审批时一致，不一致则拒绝；按 V3.4.6 事先批准的计划执行的调用，校验其在计划范围内</t>
  </si>
  <si>
    <t>V3.4.4</t>
  </si>
  <si>
    <t>审批应设有效期，过期未批视为拒绝</t>
  </si>
  <si>
    <t>V3.4.5</t>
  </si>
  <si>
    <t>应限制审批请求的频率并合并同类请求，防止审批疲劳</t>
  </si>
  <si>
    <t>V3.4.6</t>
  </si>
  <si>
    <t>应支持事先批准的执行计划，写明工具、资源范围和上限；计划范围内的操作不再逐次审批，超出范围即中止并重新审批</t>
  </si>
  <si>
    <t>V3.5.1</t>
  </si>
  <si>
    <t>V3.5 二次认证与持续访问评估</t>
  </si>
  <si>
    <t>资金、生产变更、批量删除等操作应要求用户完成二次认证（如重新完成 MFA）</t>
  </si>
  <si>
    <t>V3.5.2</t>
  </si>
  <si>
    <t>平台应接收 IdP 的会话风险信号（如 CAEP），风险升高时降低 Agent 可执行的操作等级或暂停 Agent</t>
  </si>
  <si>
    <t>V3.6.1</t>
  </si>
  <si>
    <t>V3.6 职责分离</t>
  </si>
  <si>
    <t>互斥职责（如提交与审批、开发与上线）不应分配给同一个 Agent</t>
  </si>
  <si>
    <t>V3.6.2</t>
  </si>
  <si>
    <t>对按职责分离要求双人控制的操作（如付款、生产变更、权限授予），审批人不应是发起人本人，也不应是代发起人行事的 Agent</t>
  </si>
  <si>
    <t>V3.7.1</t>
  </si>
  <si>
    <t>V3.7 持久化操作</t>
  </si>
  <si>
    <t>Agent 创建或修改定时任务、触发规则、Webhook、转发规则和 Skill，应经用户审批后才生效</t>
  </si>
  <si>
    <t>V3.7.2</t>
  </si>
  <si>
    <t>由 Agent 创建的全部持久化对象应能在管理面集中列出，并标明创建来源</t>
  </si>
  <si>
    <t>V3.8.1</t>
  </si>
  <si>
    <t>V3.8 数量、速率与配额</t>
  </si>
  <si>
    <t>应按用户、Agent 和操作类型设置速率、批量和导出上限</t>
  </si>
  <si>
    <t>V3.8.2</t>
  </si>
  <si>
    <t>超出上限的请求应被拦截并告警</t>
  </si>
  <si>
    <t>V3.8.3</t>
  </si>
  <si>
    <t>应按部门、用户或 Agent 设置模型调用预算，超额时暂停或转为审批</t>
  </si>
  <si>
    <t>V3.8.4</t>
  </si>
  <si>
    <t>每次 Agent 运行应设置最大工具调用次数、最长运行时长和最大模型调用开销，由平台强制执行，达到上限即中止并通知发起人或负责人</t>
  </si>
  <si>
    <t>V4.1.1</t>
  </si>
  <si>
    <t>V4 凭证与出口执行</t>
  </si>
  <si>
    <t>V4.1 凭证托管与注入</t>
  </si>
  <si>
    <t>访问下游所需的令牌和密钥应由平台托管，平台托管的执行环境、上下文和模型中只出现占位凭证，V5.2.2 规定的情形除外</t>
  </si>
  <si>
    <t>V4.1.2</t>
  </si>
  <si>
    <t>每个托管凭证应绑定允许的目标域名和路径，网关只在目标匹配时注入真实凭证</t>
  </si>
  <si>
    <t>V4.1.3</t>
  </si>
  <si>
    <t>网关不应把凭证注入 URL 或查询参数；非 HTTP 协议的认证应由网关或平台侧代理完成，凭证不进入执行环境</t>
  </si>
  <si>
    <t>V4.1.4</t>
  </si>
  <si>
    <t>目标不匹配的替换请求应被拒绝并告警</t>
  </si>
  <si>
    <t>V4.1.5</t>
  </si>
  <si>
    <t>下游响应中回显的凭证应在返回执行环境前被剔除</t>
  </si>
  <si>
    <t>V4.1.6</t>
  </si>
  <si>
    <t>平台应提供托管授权流程（如 OAuth），用户无需把个人凭证或 API Key 直接交给 Agent</t>
  </si>
  <si>
    <t>V4.1.7</t>
  </si>
  <si>
    <t>对话和上传文件中出现的凭证应被识别，并阻止其写入记忆、产出物或 Agent 配置</t>
  </si>
  <si>
    <t>V4.2.1</t>
  </si>
  <si>
    <t>V4.2 统一出口</t>
  </si>
  <si>
    <t>Agent 对执行环境之外的全部访问应只经过出口网关</t>
  </si>
  <si>
    <t>V4.2.2</t>
  </si>
  <si>
    <t>执行环境</t>
  </si>
  <si>
    <t>执行环境的网络应默认拒绝出站，只放行出口网关</t>
  </si>
  <si>
    <t>V4.2.3</t>
  </si>
  <si>
    <t>内网服务和数据库应拒绝来自执行环境网段、绕过网关的直连</t>
  </si>
  <si>
    <t>V4.2.4</t>
  </si>
  <si>
    <t>应定期扫描执行环境、Agent 配置和镜像中的硬编码凭证</t>
  </si>
  <si>
    <t>V4.2.5</t>
  </si>
  <si>
    <t>平台应维护已登记的下游系统清单（地址、所属系统和数据级别），出口网关据此区分企业内访问与外发</t>
  </si>
  <si>
    <t>V4.3.1</t>
  </si>
  <si>
    <t>V4.3 下游身份传递</t>
  </si>
  <si>
    <t>访问第三方 SaaS 时，应取得用户级授权（由用户本人完成 OAuth 授权，或经企业 IdP 换取用户级令牌），不使用跨用户共享的应用凭证</t>
  </si>
  <si>
    <t>V4.3.2</t>
  </si>
  <si>
    <t>用户撤销授权后，平台应立即停止使用对应凭证</t>
  </si>
  <si>
    <t>V4.3.3</t>
  </si>
  <si>
    <t>下游支持令牌交换时，应通过企业 IdP 按 RFC 8693，或按基于 RFC 8693 与 RFC 7523 的 ID-JAG，换取用户级短期令牌</t>
  </si>
  <si>
    <t>V4.4.1</t>
  </si>
  <si>
    <t>V4.4 静态凭证遗留系统</t>
  </si>
  <si>
    <t>遗留系统的共享密钥应由平台托管，不下发到执行环境</t>
  </si>
  <si>
    <t>存在只支持共享静态凭证的下游系统的平台</t>
  </si>
  <si>
    <t>V4.4.2</t>
  </si>
  <si>
    <t>网关应按用户在接口级和操作级作出授权判定，弥补下游缺失的用户级授权</t>
  </si>
  <si>
    <t>V4.4.3</t>
  </si>
  <si>
    <t>网关应向下游附带签名的用户身份信息，供下游校验和逐步改造</t>
  </si>
  <si>
    <t>V4.4.4</t>
  </si>
  <si>
    <t>应登记由网关代为作出用户级授权判定的下游系统，并纳入定期复核</t>
  </si>
  <si>
    <t>V4.5.1</t>
  </si>
  <si>
    <t>V4.5 MCP 调用</t>
  </si>
  <si>
    <t>远程 MCP Server 的请求应经过出口网关，并携带用户身份</t>
  </si>
  <si>
    <t>支持 MCP 的平台</t>
  </si>
  <si>
    <t>V4.5.2</t>
  </si>
  <si>
    <t>平台自建或托管的 MCP Server 不应持有供所有用户共用的长期凭证</t>
  </si>
  <si>
    <t>V4.5.3</t>
  </si>
  <si>
    <t>本地运行的 MCP 进程应同样只获得占位凭证，出网受执行环境的网络策略约束</t>
  </si>
  <si>
    <t>V4.5.4</t>
  </si>
  <si>
    <t>支持 Enterprise-Managed Authorization 扩展的 MCP Server，应通过企业 IdP 授权接入</t>
  </si>
  <si>
    <t>V4.5.5</t>
  </si>
  <si>
    <t>平台自建或托管的 MCP Server 应只接受签发给自身的令牌（校验签发方和受众，如使用 RFC 8707 资源指示符），不应把收到的令牌透传给下游 API</t>
  </si>
  <si>
    <t>V4.5.6</t>
  </si>
  <si>
    <t>平台应保存已审核 MCP Server 的工具定义快照，工具名称、描述或参数结构变化后，在重新审核前不向模型暴露</t>
  </si>
  <si>
    <t>V4.6.1</t>
  </si>
  <si>
    <t>V4.6 令牌生命周期</t>
  </si>
  <si>
    <t>网关注入或换取的下游令牌应设置短有效期</t>
  </si>
  <si>
    <t>V4.6.2</t>
  </si>
  <si>
    <t>对支持的下游，令牌应采用发送方绑定（DPoP 或 mTLS），防止被盗后重放</t>
  </si>
  <si>
    <t>V4.6.3</t>
  </si>
  <si>
    <t>令牌应限定受众（audience），只能用于签发时指定的下游</t>
  </si>
  <si>
    <t>V4.7.1</t>
  </si>
  <si>
    <t>V4.7 凭证库保护</t>
  </si>
  <si>
    <t>托管凭证应加密存储，数据库和备份中不出现明文</t>
  </si>
  <si>
    <t>V4.7.2</t>
  </si>
  <si>
    <t>平台管理员和运维人员不应能读取或导出凭证明文</t>
  </si>
  <si>
    <t>V4.7.3</t>
  </si>
  <si>
    <t>只有出口网关能在调用时取用凭证，每次取用都应记录审计</t>
  </si>
  <si>
    <t>V4.7.4</t>
  </si>
  <si>
    <t>主密钥应由企业控制的 KMS 或 HSM 管理</t>
  </si>
  <si>
    <t>V4.7.5</t>
  </si>
  <si>
    <t>应支持按用户、按连接或全量批量轮换和吊销凭证</t>
  </si>
  <si>
    <t>V5.1.1</t>
  </si>
  <si>
    <t>V5 执行隔离</t>
  </si>
  <si>
    <t>V5.1 执行环境隔离</t>
  </si>
  <si>
    <t>每个会话应使用独立的执行环境，不同用户之间、同一用户的不同会话之间不共享文件和进程</t>
  </si>
  <si>
    <t>平台托管的执行环境；在员工终端上运行的 Agent 按 V5.4 执行</t>
  </si>
  <si>
    <t>V5.1.2</t>
  </si>
  <si>
    <t>执行环境应以非特权身份运行，不能访问宿主机或其他实例</t>
  </si>
  <si>
    <t>V5.1.3</t>
  </si>
  <si>
    <t>会话结束后应销毁执行环境及其中的文件和临时凭证</t>
  </si>
  <si>
    <t>V5.1.4</t>
  </si>
  <si>
    <t>多个用户或租户共享宿主机的执行环境，应采用独立内核或用户态内核隔离，如 gVisor、Kata Containers 或 Firecracker 微虚拟机</t>
  </si>
  <si>
    <t>V5.2.1</t>
  </si>
  <si>
    <t>V5.2 代码与命令执行</t>
  </si>
  <si>
    <t>代码和命令应只在隔离的执行环境中运行，不在 Harness 或平台宿主上直接执行</t>
  </si>
  <si>
    <t>支持代码或命令执行的平台</t>
  </si>
  <si>
    <t>V5.2.2</t>
  </si>
  <si>
    <t>无法由出口网关注入的凭证（如需在客户端签名的云 API 凭证），应按用户和任务签发限定权限和目标资源的短期凭证（如 AWS STS），不放长期密钥</t>
  </si>
  <si>
    <t>V5.2.3</t>
  </si>
  <si>
    <t>在员工终端或挂载持久数据的执行环境中，删除持久数据、提权和修改网络配置的命令应在执行前转为审批</t>
  </si>
  <si>
    <t>V5.2.4</t>
  </si>
  <si>
    <t>依赖包应只能从企业认可的镜像源安装</t>
  </si>
  <si>
    <t>V5.3.1</t>
  </si>
  <si>
    <t>V5.3 浏览器与桌面操作</t>
  </si>
  <si>
    <t>平台提供浏览器环境时，Agent 应使用独立的浏览器配置，不复用用户已登录的个人会话</t>
  </si>
  <si>
    <t>支持浏览器或桌面操作的平台</t>
  </si>
  <si>
    <t>V5.3.2</t>
  </si>
  <si>
    <t>提交会产生外部效果的表单（如下单、付款、发送消息、发布内容、修改账户设置）前应转为审批</t>
  </si>
  <si>
    <t>V5.3.3</t>
  </si>
  <si>
    <t>应逐站点授权 Agent 可访问的网站，未授权站点被拦截</t>
  </si>
  <si>
    <t>V5.3.4</t>
  </si>
  <si>
    <t>桌面操作应限定在用户授权的应用范围内</t>
  </si>
  <si>
    <t>V5.3.5</t>
  </si>
  <si>
    <t>在用户已登录的浏览器中运行的 Agent（如浏览器插件），应按站点白名单运行，默认拒绝未列入的站点，并默认禁止在身份认证、支付和管理后台类站点上操作</t>
  </si>
  <si>
    <t>V5.4.1</t>
  </si>
  <si>
    <t>V5.4 端侧 Harness</t>
  </si>
  <si>
    <t>端侧执行应默认放在系统级沙箱中，如 macOS Seatbelt 或 Linux bubblewrap</t>
  </si>
  <si>
    <t>在员工终端上运行的 Agent，如编码 Agent、桌面助手</t>
  </si>
  <si>
    <t>V5.4.2</t>
  </si>
  <si>
    <t>文件访问应按目录授权，默认不能读取密钥目录（如 ~/.ssh、~/.aws）和浏览器凭证存储</t>
  </si>
  <si>
    <t>V5.4.3</t>
  </si>
  <si>
    <t>在受管终端上，企业应能通过托管策略统一下发端侧策略，员工不能在本机关闭；未受管终端上的端侧 Agent 不应获得企业资源的访问凭证</t>
  </si>
  <si>
    <t>V5.4.4</t>
  </si>
  <si>
    <t>端侧 Agent 访问企业资源应经过出口网关，不直接使用本机保存的企业凭证</t>
  </si>
  <si>
    <t>V5.5.1</t>
  </si>
  <si>
    <t>V5.5 Harness 配置与权限模式</t>
  </si>
  <si>
    <t>企业应能下发不可被本地配置覆盖的托管策略</t>
  </si>
  <si>
    <t>V5.5.2</t>
  </si>
  <si>
    <t>托管策略应能禁止或限制自动批准、跳过确认等模式</t>
  </si>
  <si>
    <t>V5.5.3</t>
  </si>
  <si>
    <t>允许和禁止的工具清单应由企业统一配置</t>
  </si>
  <si>
    <t>V5.5.4</t>
  </si>
  <si>
    <t>项目目录（代码仓库或 IDE 中打开的工作区）中的规则文件、MCP 定义和钩子，应在用户确认信任后才加载</t>
  </si>
  <si>
    <t>V5.5.5</t>
  </si>
  <si>
    <t>项目目录中的上述配置变更后，应重新确认信任才能加载</t>
  </si>
  <si>
    <t>V5.5.6</t>
  </si>
  <si>
    <t>企业应能禁止加载项目目录级的 MCP 和钩子</t>
  </si>
  <si>
    <t>V5.6.1</t>
  </si>
  <si>
    <t>V5.6 Skill、插件与 MCP 供应链</t>
  </si>
  <si>
    <t>Skill、插件和 MCP Server 应经审核后才能安装</t>
  </si>
  <si>
    <t>支持安装 Skill、插件或第三方 MCP 的平台</t>
  </si>
  <si>
    <t>V5.6.2</t>
  </si>
  <si>
    <t>管理员应能维护允许安装的白名单，并能立即下架</t>
  </si>
  <si>
    <t>V5.6.3</t>
  </si>
  <si>
    <t>应校验来源和签名并锁定版本，更新需重新审核</t>
  </si>
  <si>
    <t>V5.6.4</t>
  </si>
  <si>
    <t>每个 Skill 或插件应声明所需权限，执行时超出声明的调用被拒绝</t>
  </si>
  <si>
    <t>V6.1.1</t>
  </si>
  <si>
    <t>V6 上下文与不可信输入</t>
  </si>
  <si>
    <t>V6.1 不可信内容标记</t>
  </si>
  <si>
    <t>平台应将工具返回、检索结果、网页、邮件、文件和其他 Agent 的输出记为不可信内容，作为 V6.2 收紧规则的判断依据</t>
  </si>
  <si>
    <t>V6.1.2</t>
  </si>
  <si>
    <t>进入上下文的内容应标记来源，使策略检查能区分用户指令和不可信内容</t>
  </si>
  <si>
    <t>V6.1.3</t>
  </si>
  <si>
    <t>平台策略和系统提示词应通过消息角色或分隔结构与不可信内容隔开，不拼接在同一段文本中</t>
  </si>
  <si>
    <t>V6.2.1</t>
  </si>
  <si>
    <t>V6.2 接触不可信内容后的降级</t>
  </si>
  <si>
    <t>会话接触不可信内容后，任何外发都应默认禁止，经审批后方可执行</t>
  </si>
  <si>
    <t>V6.2.2</t>
  </si>
  <si>
    <t>会话接触不可信内容后，对执行环境以外系统的写入和删除应转为审批，或限定在 V3.4.6 事先批准的计划范围内</t>
  </si>
  <si>
    <t>V6.2.3</t>
  </si>
  <si>
    <t>应定期用嵌入注入指令的网页、邮件、文档和工具返回，对 Agent 做红队测试</t>
  </si>
  <si>
    <t>V6.2.4</t>
  </si>
  <si>
    <t>高风险场景应先由没有工具权限的隔离模型处理不可信内容，只把结构化结果交给有权限的 Agent（如 Dual LLM 模式，或在其上增加控制流与数据流分离的 CaMeL）</t>
  </si>
  <si>
    <t>V6.3.1</t>
  </si>
  <si>
    <t>V6.3 系统提示词与配置</t>
  </si>
  <si>
    <t>系统提示词、Agent 配置和 Skill 文件中不应包含凭证或密钥</t>
  </si>
  <si>
    <t>V6.3.2</t>
  </si>
  <si>
    <t>应假定系统提示词可能泄露，其中不应包含个人信息，也不应包含超出该 Agent 全部使用者共同可见范围的数据</t>
  </si>
  <si>
    <t>V6.3.3</t>
  </si>
  <si>
    <t>Agent 配置和 Skill 文件在发布前应经过凭证扫描</t>
  </si>
  <si>
    <t>V6.4.1</t>
  </si>
  <si>
    <t>V6.4 多 Agent 级联</t>
  </si>
  <si>
    <t>Agent 之间的消息应经平台转发并附带发送方身份，Agent 之间不直接通信</t>
  </si>
  <si>
    <t>支持多 Agent 编排的平台</t>
  </si>
  <si>
    <t>V6.4.2</t>
  </si>
  <si>
    <t>关键节点应校验上游输出的格式和取值范围，不合规的结果不再向下传递</t>
  </si>
  <si>
    <t>V6.4.3</t>
  </si>
  <si>
    <t>链路中异常输出或错误率超过阈值时，应熔断整条链路并告警</t>
  </si>
  <si>
    <t>V7.1.1</t>
  </si>
  <si>
    <t>V7 输出与可见性</t>
  </si>
  <si>
    <t>V7.1 多人渠道</t>
  </si>
  <si>
    <t>在多人渠道中，回复只能使用全部在场成员都有权访问的数据，否则按 V7.1.2 处理</t>
  </si>
  <si>
    <t>支持群聊、频道、共享文档评论等多人渠道的平台</t>
  </si>
  <si>
    <t>V7.1.2</t>
  </si>
  <si>
    <t>超出部分在场成员权限的结果应只私信给触发者，渠道内只显示提示</t>
  </si>
  <si>
    <t>V7.1.3</t>
  </si>
  <si>
    <t>渠道内有外部成员时，可展示内容的级别应进一步收紧</t>
  </si>
  <si>
    <t>V7.1.4</t>
  </si>
  <si>
    <t>判断可展示内容时，应考虑之后加入的成员能翻看历史回复</t>
  </si>
  <si>
    <t>V7.2.1</t>
  </si>
  <si>
    <t>V7.2 共享 Agent 会话隔离</t>
  </si>
  <si>
    <t>共享 Agent 的会话应按用户隔离</t>
  </si>
  <si>
    <t>多人共用同一个 Agent 的平台</t>
  </si>
  <si>
    <t>V7.2.2</t>
  </si>
  <si>
    <t>数据层</t>
  </si>
  <si>
    <t>个人上下文与团队共享知识应分开存放，检索时按当前用户作出授权判定</t>
  </si>
  <si>
    <t>V7.3.1</t>
  </si>
  <si>
    <t>V7.3 会话转交</t>
  </si>
  <si>
    <t>会话转交前应按接收人的权限检查已有上下文</t>
  </si>
  <si>
    <t>支持会话转交或人工接管的平台</t>
  </si>
  <si>
    <t>V7.3.2</t>
  </si>
  <si>
    <t>超出接收人权限的内容应脱敏或移除后再转交</t>
  </si>
  <si>
    <t>V7.4.1</t>
  </si>
  <si>
    <t>V7.4 输出渲染</t>
  </si>
  <si>
    <t>平台发往任何渠道的回复中，指向白名单以外域名的图片和资源应在发送前移除，或改为不自动加载的链接</t>
  </si>
  <si>
    <t>V7.4.2</t>
  </si>
  <si>
    <t>回复中的 HTML 和 Markdown 应在渲染前净化，去除脚本和事件属性</t>
  </si>
  <si>
    <t>V7.4.3</t>
  </si>
  <si>
    <t>回复中的链接应显示真实的目标地址</t>
  </si>
  <si>
    <t>V7.5.1</t>
  </si>
  <si>
    <t>V7.5 输出数据防泄漏</t>
  </si>
  <si>
    <t>回复和外发内容中出现凭证或密钥时应被拦截</t>
  </si>
  <si>
    <t>V7.5.2</t>
  </si>
  <si>
    <t>回复、文件下载和外发的内容应经过敏感数据检测</t>
  </si>
  <si>
    <t>V7.5.3</t>
  </si>
  <si>
    <t>命中个人信息等敏感数据时，应按策略脱敏或转为审批</t>
  </si>
  <si>
    <t>V7.5.4</t>
  </si>
  <si>
    <t>会话读取过非公开数据后，任何外发都应默认禁止，经审批后方可执行</t>
  </si>
  <si>
    <t>V7.6.1</t>
  </si>
  <si>
    <t>V7.6 代发消息</t>
  </si>
  <si>
    <t>发往企业外部收件人的消息应经过审批</t>
  </si>
  <si>
    <t>支持以用户名义发送邮件、IM 或公告的平台</t>
  </si>
  <si>
    <t>V7.6.2</t>
  </si>
  <si>
    <t>代发的默认方式应为生成草稿，由用户确认后发出</t>
  </si>
  <si>
    <t>V7.6.3</t>
  </si>
  <si>
    <t>由 Agent 代发的消息应带有可识别的代发标识</t>
  </si>
  <si>
    <t>V8.1.1</t>
  </si>
  <si>
    <t>V8 数据、记忆与产出物</t>
  </si>
  <si>
    <t>V8.1 检索授权</t>
  </si>
  <si>
    <t>检索结果应按源系统的访问控制过滤，可将访问控制列表同步到每个文本块（chunk），或在检索时回源校验</t>
  </si>
  <si>
    <t>支持 RAG 或知识库检索的平台</t>
  </si>
  <si>
    <t>V8.1.2</t>
  </si>
  <si>
    <t>应在检索阶段按当前用户过滤结果，而不是生成回答后再删除</t>
  </si>
  <si>
    <t>V8.1.3</t>
  </si>
  <si>
    <t>源系统撤销权限后，应在约定时长内反映到检索结果，并监控同步延迟</t>
  </si>
  <si>
    <t>V8.2.1</t>
  </si>
  <si>
    <t>V8.2 数据库查询</t>
  </si>
  <si>
    <t>Agent 查询数据库应以用户身份连接，或由平台注入该用户的行级、列级策略</t>
  </si>
  <si>
    <t>Agent 直接查询业务数据库的平台</t>
  </si>
  <si>
    <t>V8.2.2</t>
  </si>
  <si>
    <t>Agent 使用的数据库连接默认应为只读</t>
  </si>
  <si>
    <t>V8.2.3</t>
  </si>
  <si>
    <t>单次查询返回的行数应设上限</t>
  </si>
  <si>
    <t>V8.3.1</t>
  </si>
  <si>
    <t>V8.3 记忆隔离</t>
  </si>
  <si>
    <t>记忆应记录来源用户和权限标签</t>
  </si>
  <si>
    <t>支持长期记忆或知识沉淀的平台</t>
  </si>
  <si>
    <t>V8.3.2</t>
  </si>
  <si>
    <t>检索记忆时应按当前用户过滤，一个用户的个人记忆不能出现在其他用户的会话中</t>
  </si>
  <si>
    <t>V8.3.3</t>
  </si>
  <si>
    <t>个人内容沉淀为团队共享知识前应经过审核</t>
  </si>
  <si>
    <t>V8.4.1</t>
  </si>
  <si>
    <t>V8.4 记忆与知识投毒</t>
  </si>
  <si>
    <t>写入记忆和知识库的内容应标记来源和可信度</t>
  </si>
  <si>
    <t>V8.4.2</t>
  </si>
  <si>
    <t>来自不可信内容的沉淀应经人工审核后才能被检索</t>
  </si>
  <si>
    <t>V8.4.3</t>
  </si>
  <si>
    <t>检索出的记忆应作为数据交给模型，不作为系统指令</t>
  </si>
  <si>
    <t>V8.4.4</t>
  </si>
  <si>
    <t>应支持按来源回溯，并批量清除记忆和知识条目</t>
  </si>
  <si>
    <t>V8.5.1</t>
  </si>
  <si>
    <t>V8.5 产出物</t>
  </si>
  <si>
    <t>产出物应继承其来源中的最高数据级别，并记录来源</t>
  </si>
  <si>
    <t>V8.5.2</t>
  </si>
  <si>
    <t>共享产出物时，应检查接收人对来源数据的权限</t>
  </si>
  <si>
    <t>V8.5.3</t>
  </si>
  <si>
    <t>对敏感维度的聚合和统计请求应转为审批</t>
  </si>
  <si>
    <t>V8.6.1</t>
  </si>
  <si>
    <t>V8.6 缓存与留存</t>
  </si>
  <si>
    <t>缓存的检索结果和回答应带权限标签，权限变更后失效</t>
  </si>
  <si>
    <t>V8.6.2</t>
  </si>
  <si>
    <t>历史会话应按当前权限展示，已收回权限的内容不再显示</t>
  </si>
  <si>
    <t>V8.6.3</t>
  </si>
  <si>
    <t>应为会话、记忆和审计分别设置保留期限</t>
  </si>
  <si>
    <t>V8.6.4</t>
  </si>
  <si>
    <t>用户离职后，其托管凭证应在约定时间内删除，个人记忆按策略删除或移交</t>
  </si>
  <si>
    <t>V8.7.1</t>
  </si>
  <si>
    <t>V8.7 模型路由</t>
  </si>
  <si>
    <t>应按数据分级配置每类数据可以发往的模型，敏感数据只发往本地或指定模型</t>
  </si>
  <si>
    <t>接入多个模型的平台。对话数据用于评估和微调属于模型训练的数据治理，参见 OWASP AISVS 的 C1 和 C3</t>
  </si>
  <si>
    <t>V8.7.2</t>
  </si>
  <si>
    <t>发往未授权模型的敏感数据应被拦截</t>
  </si>
  <si>
    <t>V9.1.1</t>
  </si>
  <si>
    <t>V9 生命周期与治理</t>
  </si>
  <si>
    <t>V9.1 Agent 登记与发布</t>
  </si>
  <si>
    <t>创建、发布和下线 Agent 应分别授权</t>
  </si>
  <si>
    <t>V9.1.2</t>
  </si>
  <si>
    <t>Agent 发布前应经过审核，未指定负责人的 Agent 不能发布</t>
  </si>
  <si>
    <t>V9.1.3</t>
  </si>
  <si>
    <t>平台应能列出全部已发布的 Agent，以及各自的授权范围、连接和负责人</t>
  </si>
  <si>
    <t>V9.1.4</t>
  </si>
  <si>
    <t>Agent 登记信息应包含所用模型及版本、Harness 版本和已连接的工具，变更时同步更新</t>
  </si>
  <si>
    <t>V9.2.1</t>
  </si>
  <si>
    <t>V9.2 连接器与凭证绑定</t>
  </si>
  <si>
    <t>为 Agent 绑定连接器应需要相应权限，且不能超出该 Agent 登记的授权范围</t>
  </si>
  <si>
    <t>V9.2.2</t>
  </si>
  <si>
    <t>凭证绑定后，绑定人不应能再查看或导出其明文</t>
  </si>
  <si>
    <t>V9.2.3</t>
  </si>
  <si>
    <t>连接器的绑定和变更应记录审计</t>
  </si>
  <si>
    <t>V9.3.1</t>
  </si>
  <si>
    <t>V9.3 配置变更</t>
  </si>
  <si>
    <t>修改 Agent 的系统提示词、工具、授权范围和策略应经过审批</t>
  </si>
  <si>
    <t>V9.3.2</t>
  </si>
  <si>
    <t>未经审批的配置变更不应生效</t>
  </si>
  <si>
    <t>V9.3.3</t>
  </si>
  <si>
    <t>配置应保留版本记录，可回滚到任一历史版本</t>
  </si>
  <si>
    <t>V9.3.4</t>
  </si>
  <si>
    <t>更换 Agent 使用的模型或模型版本，应按配置变更审批，并重新评估其行为</t>
  </si>
  <si>
    <t>V9.3.5</t>
  </si>
  <si>
    <t>风险分级、凭证目标绑定、出口放行清单和托管策略等全局策略的变更，应限定专门角色执行，并记录操作人、时间和变更前后内容</t>
  </si>
  <si>
    <t>V9.3.6</t>
  </si>
  <si>
    <t>上述全局策略的变更应经第二人审批后生效</t>
  </si>
  <si>
    <t>V9.4.1</t>
  </si>
  <si>
    <t>V9.4 生命周期与权限复核</t>
  </si>
  <si>
    <t>负责人离职或转岗时，其名下 Agent 应进入待转交状态，限期未转交则自动停用</t>
  </si>
  <si>
    <t>V9.4.2</t>
  </si>
  <si>
    <t>应定期复核 Agent 的连接和权限，到期未确认的权限自动收回</t>
  </si>
  <si>
    <t>V9.4.3</t>
  </si>
  <si>
    <t>长期未使用的 Agent 应被识别并下线</t>
  </si>
  <si>
    <t>V9.5.1</t>
  </si>
  <si>
    <t>V9.5 影子 Agent 发现</t>
  </si>
  <si>
    <t>应通过 IdP 的 OAuth 授权记录，发现员工自行接入、未经登记的 Agent</t>
  </si>
  <si>
    <t>V9.5.2</t>
  </si>
  <si>
    <t>发现的未登记 Agent 应在约定时间内登记纳管或封禁</t>
  </si>
  <si>
    <t>V9.5.3</t>
  </si>
  <si>
    <t>应结合终端和网络检测，发现端侧和浏览器中的未登记 Agent</t>
  </si>
  <si>
    <t>V9.6.1</t>
  </si>
  <si>
    <t>V9.6 工作空间隔离</t>
  </si>
  <si>
    <t>数据、知识库、凭证和 Agent 应按工作空间隔离</t>
  </si>
  <si>
    <t>V9.6.2</t>
  </si>
  <si>
    <t>跨工作空间访问应经过显式授权</t>
  </si>
  <si>
    <t>V9.6.3</t>
  </si>
  <si>
    <t>以 SaaS 交付时，不同租户的数据、凭证和执行环境应完全隔离</t>
  </si>
  <si>
    <t>V9.7.1</t>
  </si>
  <si>
    <t>V9.7 提供方人员访问</t>
  </si>
  <si>
    <t>提供方对客户环境和数据的访问应默认关闭，开启需客户审批并限定时长</t>
  </si>
  <si>
    <t>V9.7.2</t>
  </si>
  <si>
    <t>提供方的每次访问都应全程审计，审计记录对客户可见</t>
  </si>
  <si>
    <t>V9.7.3</t>
  </si>
  <si>
    <t>遥测数据应只包含公开清单中的字段，且客户可以关闭</t>
  </si>
  <si>
    <t>V9.7.4</t>
  </si>
  <si>
    <t>私有化部署的登录和授权判定不应依赖提供方的在线服务</t>
  </si>
  <si>
    <t>V10.1.1</t>
  </si>
  <si>
    <t>V10 审计、检测与响应</t>
  </si>
  <si>
    <t>V10.1 审计记录</t>
  </si>
  <si>
    <t>每次工具调用都应记录发起用户、执行的 Agent、委托链、触发源、工具参数和结果状态</t>
  </si>
  <si>
    <t>V10.1.2</t>
  </si>
  <si>
    <t>经过审批的操作应记录审批人、审批内容和审批时间</t>
  </si>
  <si>
    <t>V10.1.3</t>
  </si>
  <si>
    <t>审计应记录进入上下文的不可信内容的来源，使事后能判断操作是否由注入引起</t>
  </si>
  <si>
    <t>V10.1.4</t>
  </si>
  <si>
    <t>审计应能导出到企业 SIEM</t>
  </si>
  <si>
    <t>V10.1.5</t>
  </si>
  <si>
    <t>审计日志应以只追加方式写入与平台运维隔离的存储，或以哈希链等方式使篡改可被发现</t>
  </si>
  <si>
    <t>V10.1.6</t>
  </si>
  <si>
    <t>审计记录应以密码学方式绑定执行它的 Agent 身份，以及授权它的用户或审批，保证不可抵赖</t>
  </si>
  <si>
    <t>V10.2.1</t>
  </si>
  <si>
    <t>V10.2 审计数据保护与调阅</t>
  </si>
  <si>
    <t>管理员调阅审计或对话的行为本身应记录审计</t>
  </si>
  <si>
    <t>V10.2.2</t>
  </si>
  <si>
    <t>审计日志中的敏感字段应脱敏存储，或按角色控制可见</t>
  </si>
  <si>
    <t>V10.2.3</t>
  </si>
  <si>
    <t>管理员调阅用户与 Agent 的对话应经过审批</t>
  </si>
  <si>
    <t>V10.2.4</t>
  </si>
  <si>
    <t>审计记录在保留期内不应能被删除</t>
  </si>
  <si>
    <t>V10.3.1</t>
  </si>
  <si>
    <t>V10.3 行为检测</t>
  </si>
  <si>
    <t>策略拒绝、审批拒绝、凭证目标不匹配等事件应实时告警</t>
  </si>
  <si>
    <t>V10.3.2</t>
  </si>
  <si>
    <t>应能按 Agent、用户和委托链检索并关联告警</t>
  </si>
  <si>
    <t>V10.3.3</t>
  </si>
  <si>
    <t>应为每个 Agent 建立行为基线（调用频率、工具分布、数据量），偏离时告警</t>
  </si>
  <si>
    <t>V10.4.1</t>
  </si>
  <si>
    <t>V10.4 权限撤销与紧急停用</t>
  </si>
  <si>
    <t>IdP 禁用用户或降权后，相关调用应在约定时长内（如 5 分钟）全部被拒</t>
  </si>
  <si>
    <t>V10.4.2</t>
  </si>
  <si>
    <t>权限缓存应设时长上限</t>
  </si>
  <si>
    <t>V10.4.3</t>
  </si>
  <si>
    <t>应能通过单次操作停用单个 Agent，停用时网关停止为其注入凭证，并吊销其刷新令牌、中止运行中的任务、结束会话</t>
  </si>
  <si>
    <t>V10.4.4</t>
  </si>
  <si>
    <t>平台应接收 IdP 的会话撤销事件（如 CAEP），收到后立即生效</t>
  </si>
  <si>
    <t>V10.4.5</t>
  </si>
  <si>
    <t>应能按负责人、工作空间或连接器批量停用 Agent</t>
  </si>
  <si>
    <t>V10.5.1</t>
  </si>
  <si>
    <t>V10.5 紧急访问</t>
  </si>
  <si>
    <t>应预置在 IdP 不可用时也能登录管理面的紧急访问账号</t>
  </si>
  <si>
    <t>V10.5.2</t>
  </si>
  <si>
    <t>紧急访问账号的凭证应分割保管、双人控制，使用即告警并全程审计</t>
  </si>
  <si>
    <t>V10.6.1</t>
  </si>
  <si>
    <t>V10.6 事件响应与恢复</t>
  </si>
  <si>
    <t>应制定 Agent 被注入或被攻陷时的响应流程，覆盖停用、凭证轮换和影响范围排查</t>
  </si>
  <si>
    <t>V10.6.2</t>
  </si>
  <si>
    <t>应能按会话或委托链还原 Agent 在指定时段内的全部操作，用于确定影响范围</t>
  </si>
  <si>
    <t>V10.6.3</t>
  </si>
  <si>
    <t>写入类操作应可撤销，或在执行前保留可回滚的快照</t>
  </si>
  <si>
    <t>评估进度</t>
  </si>
  <si>
    <t>数字由公式从「评估表」实时计算。目标等级内的条目 = 该等级及以下全部条目；满足率 = 已满足 ÷（条目数 − 不适用）；未评估按未满足计。</t>
  </si>
  <si>
    <t>目标等级</t>
  </si>
  <si>
    <t>条目数</t>
  </si>
  <si>
    <t>已满足</t>
  </si>
  <si>
    <t>部分满足</t>
  </si>
  <si>
    <t>未满足</t>
  </si>
  <si>
    <t>不适用</t>
  </si>
  <si>
    <t>满足率</t>
  </si>
  <si>
    <t>结论</t>
  </si>
  <si>
    <t>达到 L1</t>
  </si>
  <si>
    <t>达到 L2</t>
  </si>
  <si>
    <t>达到 L3</t>
  </si>
  <si>
    <t>下面三张表按此目标等级统计 ▸</t>
  </si>
  <si>
    <t>（下拉切换 L1 / L2 / L3）</t>
  </si>
  <si>
    <t>按架构组件</t>
  </si>
  <si>
    <t>架构组件</t>
  </si>
  <si>
    <t>L2 新增</t>
  </si>
  <si>
    <t>L3 新增</t>
  </si>
  <si>
    <t>合计</t>
  </si>
  <si>
    <t>目标内条目</t>
  </si>
  <si>
    <t>达成等级</t>
  </si>
  <si>
    <t>按章</t>
  </si>
  <si>
    <t>组件 × 章（全部等级的条目数）</t>
  </si>
  <si>
    <t>组件</t>
  </si>
  <si>
    <t>V1</t>
  </si>
  <si>
    <t>V2</t>
  </si>
  <si>
    <t>V3</t>
  </si>
  <si>
    <t>V4</t>
  </si>
  <si>
    <t>V5</t>
  </si>
  <si>
    <t>V6</t>
  </si>
  <si>
    <t>V7</t>
  </si>
  <si>
    <t>V8</t>
  </si>
  <si>
    <t>V9</t>
  </si>
  <si>
    <t>V10</t>
  </si>
  <si>
    <t>颜色越深，该章越依赖这个组件落地。</t>
  </si>
  <si>
    <t>差距清单（目标等级 L2）</t>
  </si>
  <si>
    <t>导出时按目标等级内、状态不是「已满足」或「不适用」的要求生成，按等级和编号排序。在评估表里改状态后，这一页不会自动更新，请重新导出。</t>
  </si>
  <si>
    <t>架构视角</t>
  </si>
  <si>
    <t>对应基线第 4 章。落点组件指主要负责实现或强制执行该要求的组件，多个组件配合时取最主要的一个。</t>
  </si>
  <si>
    <t>职责</t>
  </si>
  <si>
    <t>信任假设</t>
  </si>
  <si>
    <t>企业 IdP、目录、SCIM，签发用户、Agent 和工作负载身份</t>
  </si>
  <si>
    <t>可信</t>
  </si>
  <si>
    <t>Web、IM、邮件、IDE、API 等入口，负责身份映射和输出的可见范围</t>
  </si>
  <si>
    <t>可信；经渠道进入的内容不可信</t>
  </si>
  <si>
    <t>Agent 循环、上下文管理、工具层、安全控制、编排、扩展接口</t>
  </si>
  <si>
    <t>平台托管时可信；在员工终端运行时不可信，按 V5.4</t>
  </si>
  <si>
    <t>计算有效权限、判定风险等级、决定是否审批</t>
  </si>
  <si>
    <t>统一出口，注入凭证、校验目标、限流、吊销；凭证库归属于此</t>
  </si>
  <si>
    <t>被访问的 SaaS、内部 API、MCP Server、数据库</t>
  </si>
  <si>
    <t>自行作出授权判定；返回内容不可信</t>
  </si>
  <si>
    <t>知识库、RAG、记忆、产出物</t>
  </si>
  <si>
    <t>可信；存储的内容可能被污染，按不可信内容处理</t>
  </si>
  <si>
    <t>执行代码、命令、文件和浏览器操作</t>
  </si>
  <si>
    <t>不可信，可能被攻陷</t>
  </si>
  <si>
    <t>Agent 登记、连接器、托管策略、生命周期</t>
  </si>
  <si>
    <t>记录、调阅、导出与留存，以及检测与响应</t>
  </si>
  <si>
    <t>模型不承担任何控制：它的输出只是请求，相关要求落在 Harness 上。</t>
  </si>
  <si>
    <t>一次工具调用的检查点</t>
  </si>
  <si>
    <t>步骤</t>
  </si>
  <si>
    <t>检查点</t>
  </si>
  <si>
    <t>发生了什么</t>
  </si>
  <si>
    <t>负责组件</t>
  </si>
  <si>
    <t>相关要求</t>
  </si>
  <si>
    <t>入口认证</t>
  </si>
  <si>
    <t>渠道账号映射到企业身份</t>
  </si>
  <si>
    <t>交互渠道、身份层</t>
  </si>
  <si>
    <t>V1.1、V1.2</t>
  </si>
  <si>
    <t>建立会话</t>
  </si>
  <si>
    <t>签发工作负载身份，确定用户和 Agent</t>
  </si>
  <si>
    <t>Harness、身份层</t>
  </si>
  <si>
    <t>V1.4</t>
  </si>
  <si>
    <t>组装上下文</t>
  </si>
  <si>
    <t>按有效权限过滤工具清单、记忆和检索结果</t>
  </si>
  <si>
    <t>Harness、数据层</t>
  </si>
  <si>
    <t>V3.3、V8.1、V8.3</t>
  </si>
  <si>
    <t>前置校验</t>
  </si>
  <si>
    <t>执行前做策略检查和风险分级</t>
  </si>
  <si>
    <t>Harness、策略决策点</t>
  </si>
  <si>
    <t>V2.2、V3.1、V3.2</t>
  </si>
  <si>
    <t>人工确认</t>
  </si>
  <si>
    <t>按真实参数生成审批，必要时二次认证</t>
  </si>
  <si>
    <t>V3.4、V3.5</t>
  </si>
  <si>
    <t>出口执行</t>
  </si>
  <si>
    <t>经网关注入凭证、校验目标、限流</t>
  </si>
  <si>
    <t>V4.1、V4.2、V3.8</t>
  </si>
  <si>
    <t>下游授权判定</t>
  </si>
  <si>
    <t>下游按代表用户访问时传递的用户身份作出授权判定</t>
  </si>
  <si>
    <t>V2.1、V4.3、V4.4</t>
  </si>
  <si>
    <t>处理返回</t>
  </si>
  <si>
    <t>返回内容按不可信处理并标记来源</t>
  </si>
  <si>
    <t>V6.1、V6.2</t>
  </si>
  <si>
    <t>输出检查</t>
  </si>
  <si>
    <t>检查接收方、敏感数据和渲染风险</t>
  </si>
  <si>
    <t>交互渠道、出口网关</t>
  </si>
  <si>
    <t>V7.1、V7.4、V7.5</t>
  </si>
  <si>
    <t>全程记录</t>
  </si>
  <si>
    <t>每一步写入审计，可追溯到人、Agent 和输入来源</t>
  </si>
  <si>
    <t>V10.1</t>
  </si>
  <si>
    <t>企业智能体身份与授权安全基线 评估表</t>
  </si>
  <si>
    <t>对应文档</t>
  </si>
  <si>
    <t>企业智能体身份与授权安全基线 v1.0（2026-10-07）。要求的完整上下文、术语、架构图、威胁模型和映射附录都在文档中。</t>
  </si>
  <si>
    <t>文档链接</t>
  </si>
  <si>
    <t>https://github.com/teloa-ai/agent-baseline-assessor/blob/main/01-standard/zh-CN/baseline-v1.0.md</t>
  </si>
  <si>
    <t>内容</t>
  </si>
  <si>
    <t>共 240 条要求，分布在 62 个小节：L1 90 条，L2 在此基础上增加 137 条，L3 再增加 13 条。</t>
  </si>
  <si>
    <t>评估信息</t>
  </si>
  <si>
    <t>评估对象</t>
  </si>
  <si>
    <t>评估范围</t>
  </si>
  <si>
    <t>评估人</t>
  </si>
  <si>
    <t>评估日期</t>
  </si>
  <si>
    <t>怎么填</t>
  </si>
  <si>
    <t>只填黄色列</t>
  </si>
  <si>
    <t>状态、证据与说明、负责人、计划完成四列由评估者填写，其余列与基线保持一致，不在这里改。</t>
  </si>
  <si>
    <t>下拉选择：未评估、已满足、部分满足、未满足、不适用。整节因适用条件不成立而不适用时，该节每条都选「不适用」。</t>
  </si>
  <si>
    <t>等级</t>
  </si>
  <si>
    <t>L1 底线，L2 标准，L3 增强；高等级包含低等级的全部要求。达到某级 = 该级及以下的适用要求全部满足。</t>
  </si>
  <si>
    <t>回到网页</t>
  </si>
  <si>
    <t>这份表可以在自评网页的「数据」页导入，状态、证据、负责人和计划完成会按编号回填。</t>
  </si>
  <si>
    <t>两个视角</t>
  </si>
  <si>
    <t>回答「要求什么」。V1 至 V7 沿一次 Agent 行为的发生顺序排列，V8 至 V10 按跨会话持续存在的数据、Agent 和审计组织。</t>
  </si>
  <si>
    <t>回答「在哪里实现」，顺序同基线 4.2 组件表。可按组件筛选后分派给对应团队。组件定义和检查点见「架构视角」页。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</si>
</sst>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0"/>
      <name val="Arial"/>
    </font>
    <font>
      <color rgb="FF000000"/>
      <sz val="10"/>
      <name val="Arial"/>
    </font>
    <font>
      <b/>
      <color rgb="FF000000"/>
      <sz val="14"/>
      <name val="Arial"/>
    </font>
    <font>
      <i/>
      <color rgb="FF666666"/>
      <sz val="9"/>
      <name val="Arial"/>
    </font>
    <font>
      <b/>
      <color rgb="FF000000"/>
      <sz val="10"/>
      <name val="Arial"/>
    </font>
    <font>
      <b/>
      <color rgb="FF000000"/>
      <sz val="12"/>
      <name val="Arial"/>
    </font>
    <font>
      <u/>
      <color rgb="FF0563C1"/>
      <sz val="10"/>
      <name val="Arial"/>
    </font>
  </fonts>
  <fills count="7">
    <fill>
      <patternFill patternType="none"/>
    </fill>
    <fill>
      <patternFill patternType="gray125"/>
    </fill>
    <fill>
      <patternFill patternType="solid">
        <fgColor rgb="FF2F3B33"/>
      </patternFill>
    </fill>
    <fill>
      <patternFill patternType="solid">
        <fgColor rgb="FF8A6D1F"/>
      </patternFill>
    </fill>
    <fill>
      <patternFill patternType="solid">
        <fgColor rgb="FFFFF8DC"/>
      </patternFill>
    </fill>
    <fill>
      <patternFill patternType="solid">
        <fgColor rgb="FFFFE699"/>
      </patternFill>
    </fill>
    <fill>
      <patternFill patternType="solid">
        <fgColor rgb="FF4A5D5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3" fillId="0" borderId="0" xfId="0" applyFont="1"/>
    <xf numFmtId="0" fontId="4" fillId="0" borderId="0" xfId="0" applyFont="1"/>
    <xf numFmtId="0" fontId="2" fillId="0" borderId="1" xfId="0" applyFont="1" applyBorder="1"/>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0" fontId="5" fillId="0" borderId="0" xfId="0" applyFont="1" applyAlignment="1">
      <alignment horizontal="right" vertical="center"/>
    </xf>
    <xf numFmtId="0" fontId="5" fillId="5" borderId="1" xfId="0" applyFont="1" applyFill="1" applyBorder="1" applyAlignment="1">
      <alignment horizontal="center" vertical="center"/>
    </xf>
    <xf numFmtId="0" fontId="6" fillId="0" borderId="0" xfId="0" applyFont="1"/>
    <xf numFmtId="0" fontId="1" fillId="6" borderId="1" xfId="0" applyFont="1" applyFill="1" applyBorder="1" applyAlignment="1">
      <alignment horizontal="center" vertical="center" wrapText="1"/>
    </xf>
    <xf numFmtId="0" fontId="5" fillId="0" borderId="1" xfId="0" applyFont="1" applyBorder="1"/>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0" fontId="3" fillId="0" borderId="0" xfId="0" applyFont="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5" fillId="0" borderId="0" xfId="0" applyFont="1" applyAlignment="1">
      <alignment vertical="top" wrapText="1"/>
    </xf>
  </cellXfs>
  <cellStyles count="1">
    <cellStyle name="Normal" xfId="0" builtinId="0"/>
  </cellStyles>
  <dxfs count="10">
    <dxf>
      <fill>
        <patternFill patternType="solid">
          <bgColor rgb="FFF4CCCC"/>
        </patternFill>
      </fill>
    </dxf>
    <dxf>
      <fill>
        <patternFill patternType="solid">
          <bgColor rgb="FFFCE5CD"/>
        </patternFill>
      </fill>
    </dxf>
    <dxf>
      <fill>
        <patternFill patternType="solid">
          <bgColor rgb="FFE7E6E6"/>
        </patternFill>
      </fill>
    </dxf>
    <dxf>
      <fill>
        <patternFill patternType="solid">
          <bgColor rgb="FFD9EAD3"/>
        </patternFill>
      </fill>
    </dxf>
    <dxf>
      <fill>
        <patternFill patternType="solid">
          <bgColor rgb="FFFFF2CC"/>
        </patternFill>
      </fill>
    </dxf>
    <dxf>
      <fill>
        <patternFill patternType="solid">
          <bgColor rgb="FFF4CCCC"/>
        </patternFill>
      </fill>
    </dxf>
    <dxf>
      <fill>
        <patternFill patternType="solid">
          <bgColor rgb="FFEEEEEE"/>
        </patternFill>
      </fill>
    </dxf>
    <dxf>
      <fill>
        <patternFill patternType="solid">
          <bgColor rgb="FF9EC5F4"/>
        </patternFill>
      </fill>
    </dxf>
    <dxf>
      <fill>
        <patternFill patternType="solid">
          <bgColor rgb="FFCDE2FB"/>
        </patternFill>
      </fill>
    </dxf>
    <dxf>
      <font>
        <color rgb="FFBBBBB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teloa-ai/agent-baseline-assessor/blob/main/01-standard/zh-CN/baseline-v1.0.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1"/>
  <sheetViews>
    <sheetView workbookViewId="0">
      <pane xSplit="1" ySplit="1" topLeftCell="B2" activePane="bottomRight" state="frozen"/>
      <selection pane="bottomRight" activeCell="K2" sqref="K2"/>
    </sheetView>
  </sheetViews>
  <sheetFormatPr defaultRowHeight="15" outlineLevelRow="0" outlineLevelCol="0" x14ac:dyDescent="55"/>
  <cols>
    <col min="1" max="1" width="10" customWidth="1"/>
    <col min="2" max="2" width="18" customWidth="1"/>
    <col min="3" max="3" width="22" customWidth="1"/>
    <col min="4" max="4" width="11" customWidth="1"/>
    <col min="5" max="5" width="56" customWidth="1"/>
    <col min="6" max="6" width="8" customWidth="1"/>
    <col min="7" max="9" width="5" customWidth="1"/>
    <col min="10" max="10" width="26" customWidth="1"/>
    <col min="12" max="12" width="30" customWidth="1"/>
    <col min="14" max="14" width="11" customWidth="1"/>
    <col min="15" max="15" width="6" hidden="1" customWidth="1"/>
  </cols>
  <sheetData>
    <row r="1" ht="24" customHeight="1" spans="1:15" x14ac:dyDescent="0.25">
      <c r="A1" s="1" t="s">
        <v>0</v>
      </c>
      <c r="B1" s="1" t="s">
        <v>1</v>
      </c>
      <c r="C1" s="1" t="s">
        <v>2</v>
      </c>
      <c r="D1" s="1" t="s">
        <v>3</v>
      </c>
      <c r="E1" s="1" t="s">
        <v>4</v>
      </c>
      <c r="F1" s="1" t="s">
        <v>5</v>
      </c>
      <c r="G1" s="1" t="s">
        <v>6</v>
      </c>
      <c r="H1" s="1" t="s">
        <v>7</v>
      </c>
      <c r="I1" s="1" t="s">
        <v>8</v>
      </c>
      <c r="J1" s="1" t="s">
        <v>9</v>
      </c>
      <c r="K1" s="2" t="s">
        <v>10</v>
      </c>
      <c r="L1" s="2" t="s">
        <v>11</v>
      </c>
      <c r="M1" s="2" t="s">
        <v>12</v>
      </c>
      <c r="N1" s="2" t="s">
        <v>13</v>
      </c>
      <c r="O1" s="1" t="s">
        <v>14</v>
      </c>
    </row>
    <row r="2" ht="34" customHeight="1" spans="1:15" x14ac:dyDescent="0.25">
      <c r="A2" s="3" t="s">
        <v>15</v>
      </c>
      <c r="B2" s="4" t="s">
        <v>16</v>
      </c>
      <c r="C2" s="4" t="s">
        <v>17</v>
      </c>
      <c r="D2" s="3" t="s">
        <v>18</v>
      </c>
      <c r="E2" s="4" t="s">
        <v>19</v>
      </c>
      <c r="F2" s="3" t="s">
        <v>6</v>
      </c>
      <c r="G2" s="3" t="s">
        <v>20</v>
      </c>
      <c r="H2" s="3" t="s">
        <v>20</v>
      </c>
      <c r="I2" s="3" t="s">
        <v>20</v>
      </c>
      <c r="J2" s="4" t="s">
        <v>21</v>
      </c>
      <c r="K2" s="5" t="s">
        <v>22</v>
      </c>
      <c r="L2" s="6" t="s">
        <v>23</v>
      </c>
      <c r="M2" s="6" t="s">
        <v>23</v>
      </c>
      <c r="N2" s="6" t="s">
        <v>23</v>
      </c>
      <c r="O2" s="3">
        <f>VALUE(RIGHT(F2,1))</f>
        <v>1</v>
      </c>
    </row>
    <row r="3" ht="34" customHeight="1" spans="1:15" x14ac:dyDescent="0.25">
      <c r="A3" s="3" t="s">
        <v>24</v>
      </c>
      <c r="B3" s="4" t="s">
        <v>16</v>
      </c>
      <c r="C3" s="4" t="s">
        <v>17</v>
      </c>
      <c r="D3" s="3" t="s">
        <v>18</v>
      </c>
      <c r="E3" s="4" t="s">
        <v>25</v>
      </c>
      <c r="F3" s="3" t="s">
        <v>7</v>
      </c>
      <c r="G3" s="3" t="s">
        <v>23</v>
      </c>
      <c r="H3" s="3" t="s">
        <v>20</v>
      </c>
      <c r="I3" s="3" t="s">
        <v>20</v>
      </c>
      <c r="J3" s="4" t="s">
        <v>21</v>
      </c>
      <c r="K3" s="5" t="s">
        <v>22</v>
      </c>
      <c r="L3" s="6" t="s">
        <v>23</v>
      </c>
      <c r="M3" s="6" t="s">
        <v>23</v>
      </c>
      <c r="N3" s="6" t="s">
        <v>23</v>
      </c>
      <c r="O3" s="3">
        <f>VALUE(RIGHT(F3,1))</f>
        <v>2</v>
      </c>
    </row>
    <row r="4" ht="34" customHeight="1" spans="1:15" x14ac:dyDescent="0.25">
      <c r="A4" s="3" t="s">
        <v>26</v>
      </c>
      <c r="B4" s="4" t="s">
        <v>16</v>
      </c>
      <c r="C4" s="4" t="s">
        <v>17</v>
      </c>
      <c r="D4" s="3" t="s">
        <v>18</v>
      </c>
      <c r="E4" s="4" t="s">
        <v>27</v>
      </c>
      <c r="F4" s="3" t="s">
        <v>7</v>
      </c>
      <c r="G4" s="3" t="s">
        <v>23</v>
      </c>
      <c r="H4" s="3" t="s">
        <v>20</v>
      </c>
      <c r="I4" s="3" t="s">
        <v>20</v>
      </c>
      <c r="J4" s="4" t="s">
        <v>21</v>
      </c>
      <c r="K4" s="5" t="s">
        <v>22</v>
      </c>
      <c r="L4" s="6" t="s">
        <v>23</v>
      </c>
      <c r="M4" s="6" t="s">
        <v>23</v>
      </c>
      <c r="N4" s="6" t="s">
        <v>23</v>
      </c>
      <c r="O4" s="3">
        <f>VALUE(RIGHT(F4,1))</f>
        <v>2</v>
      </c>
    </row>
    <row r="5" ht="48" customHeight="1" spans="1:15" x14ac:dyDescent="0.25">
      <c r="A5" s="3" t="s">
        <v>28</v>
      </c>
      <c r="B5" s="4" t="s">
        <v>16</v>
      </c>
      <c r="C5" s="4" t="s">
        <v>17</v>
      </c>
      <c r="D5" s="3" t="s">
        <v>18</v>
      </c>
      <c r="E5" s="4" t="s">
        <v>29</v>
      </c>
      <c r="F5" s="3" t="s">
        <v>6</v>
      </c>
      <c r="G5" s="3" t="s">
        <v>20</v>
      </c>
      <c r="H5" s="3" t="s">
        <v>20</v>
      </c>
      <c r="I5" s="3" t="s">
        <v>20</v>
      </c>
      <c r="J5" s="4" t="s">
        <v>21</v>
      </c>
      <c r="K5" s="5" t="s">
        <v>22</v>
      </c>
      <c r="L5" s="6" t="s">
        <v>23</v>
      </c>
      <c r="M5" s="6" t="s">
        <v>23</v>
      </c>
      <c r="N5" s="6" t="s">
        <v>23</v>
      </c>
      <c r="O5" s="3">
        <f>VALUE(RIGHT(F5,1))</f>
        <v>1</v>
      </c>
    </row>
    <row r="6" ht="34" customHeight="1" spans="1:15" x14ac:dyDescent="0.25">
      <c r="A6" s="3" t="s">
        <v>30</v>
      </c>
      <c r="B6" s="4" t="s">
        <v>16</v>
      </c>
      <c r="C6" s="4" t="s">
        <v>31</v>
      </c>
      <c r="D6" s="3" t="s">
        <v>32</v>
      </c>
      <c r="E6" s="4" t="s">
        <v>33</v>
      </c>
      <c r="F6" s="3" t="s">
        <v>6</v>
      </c>
      <c r="G6" s="3" t="s">
        <v>20</v>
      </c>
      <c r="H6" s="3" t="s">
        <v>20</v>
      </c>
      <c r="I6" s="3" t="s">
        <v>20</v>
      </c>
      <c r="J6" s="4" t="s">
        <v>34</v>
      </c>
      <c r="K6" s="5" t="s">
        <v>22</v>
      </c>
      <c r="L6" s="6" t="s">
        <v>23</v>
      </c>
      <c r="M6" s="6" t="s">
        <v>23</v>
      </c>
      <c r="N6" s="6" t="s">
        <v>23</v>
      </c>
      <c r="O6" s="3">
        <f>VALUE(RIGHT(F6,1))</f>
        <v>1</v>
      </c>
    </row>
    <row r="7" ht="34" customHeight="1" spans="1:15" x14ac:dyDescent="0.25">
      <c r="A7" s="3" t="s">
        <v>35</v>
      </c>
      <c r="B7" s="4" t="s">
        <v>16</v>
      </c>
      <c r="C7" s="4" t="s">
        <v>31</v>
      </c>
      <c r="D7" s="3" t="s">
        <v>32</v>
      </c>
      <c r="E7" s="4" t="s">
        <v>36</v>
      </c>
      <c r="F7" s="3" t="s">
        <v>6</v>
      </c>
      <c r="G7" s="3" t="s">
        <v>20</v>
      </c>
      <c r="H7" s="3" t="s">
        <v>20</v>
      </c>
      <c r="I7" s="3" t="s">
        <v>20</v>
      </c>
      <c r="J7" s="4" t="s">
        <v>34</v>
      </c>
      <c r="K7" s="5" t="s">
        <v>22</v>
      </c>
      <c r="L7" s="6" t="s">
        <v>23</v>
      </c>
      <c r="M7" s="6" t="s">
        <v>23</v>
      </c>
      <c r="N7" s="6" t="s">
        <v>23</v>
      </c>
      <c r="O7" s="3">
        <f>VALUE(RIGHT(F7,1))</f>
        <v>1</v>
      </c>
    </row>
    <row r="8" ht="34" customHeight="1" spans="1:15" x14ac:dyDescent="0.25">
      <c r="A8" s="3" t="s">
        <v>37</v>
      </c>
      <c r="B8" s="4" t="s">
        <v>16</v>
      </c>
      <c r="C8" s="4" t="s">
        <v>31</v>
      </c>
      <c r="D8" s="3" t="s">
        <v>32</v>
      </c>
      <c r="E8" s="4" t="s">
        <v>38</v>
      </c>
      <c r="F8" s="3" t="s">
        <v>7</v>
      </c>
      <c r="G8" s="3" t="s">
        <v>23</v>
      </c>
      <c r="H8" s="3" t="s">
        <v>20</v>
      </c>
      <c r="I8" s="3" t="s">
        <v>20</v>
      </c>
      <c r="J8" s="4" t="s">
        <v>34</v>
      </c>
      <c r="K8" s="5" t="s">
        <v>22</v>
      </c>
      <c r="L8" s="6" t="s">
        <v>23</v>
      </c>
      <c r="M8" s="6" t="s">
        <v>23</v>
      </c>
      <c r="N8" s="6" t="s">
        <v>23</v>
      </c>
      <c r="O8" s="3">
        <f>VALUE(RIGHT(F8,1))</f>
        <v>2</v>
      </c>
    </row>
    <row r="9" ht="34" customHeight="1" spans="1:15" x14ac:dyDescent="0.25">
      <c r="A9" s="3" t="s">
        <v>39</v>
      </c>
      <c r="B9" s="4" t="s">
        <v>16</v>
      </c>
      <c r="C9" s="4" t="s">
        <v>31</v>
      </c>
      <c r="D9" s="3" t="s">
        <v>32</v>
      </c>
      <c r="E9" s="4" t="s">
        <v>40</v>
      </c>
      <c r="F9" s="3" t="s">
        <v>7</v>
      </c>
      <c r="G9" s="3" t="s">
        <v>23</v>
      </c>
      <c r="H9" s="3" t="s">
        <v>20</v>
      </c>
      <c r="I9" s="3" t="s">
        <v>20</v>
      </c>
      <c r="J9" s="4" t="s">
        <v>34</v>
      </c>
      <c r="K9" s="5" t="s">
        <v>22</v>
      </c>
      <c r="L9" s="6" t="s">
        <v>23</v>
      </c>
      <c r="M9" s="6" t="s">
        <v>23</v>
      </c>
      <c r="N9" s="6" t="s">
        <v>23</v>
      </c>
      <c r="O9" s="3">
        <f>VALUE(RIGHT(F9,1))</f>
        <v>2</v>
      </c>
    </row>
    <row r="10" ht="34" customHeight="1" spans="1:15" x14ac:dyDescent="0.25">
      <c r="A10" s="3" t="s">
        <v>41</v>
      </c>
      <c r="B10" s="4" t="s">
        <v>16</v>
      </c>
      <c r="C10" s="4" t="s">
        <v>31</v>
      </c>
      <c r="D10" s="3" t="s">
        <v>32</v>
      </c>
      <c r="E10" s="4" t="s">
        <v>42</v>
      </c>
      <c r="F10" s="3" t="s">
        <v>7</v>
      </c>
      <c r="G10" s="3" t="s">
        <v>23</v>
      </c>
      <c r="H10" s="3" t="s">
        <v>20</v>
      </c>
      <c r="I10" s="3" t="s">
        <v>20</v>
      </c>
      <c r="J10" s="4" t="s">
        <v>34</v>
      </c>
      <c r="K10" s="5" t="s">
        <v>22</v>
      </c>
      <c r="L10" s="6" t="s">
        <v>23</v>
      </c>
      <c r="M10" s="6" t="s">
        <v>23</v>
      </c>
      <c r="N10" s="6" t="s">
        <v>23</v>
      </c>
      <c r="O10" s="3">
        <f>VALUE(RIGHT(F10,1))</f>
        <v>2</v>
      </c>
    </row>
    <row r="11" ht="34" customHeight="1" spans="1:15" x14ac:dyDescent="0.25">
      <c r="A11" s="3" t="s">
        <v>43</v>
      </c>
      <c r="B11" s="4" t="s">
        <v>16</v>
      </c>
      <c r="C11" s="4" t="s">
        <v>31</v>
      </c>
      <c r="D11" s="3" t="s">
        <v>32</v>
      </c>
      <c r="E11" s="4" t="s">
        <v>44</v>
      </c>
      <c r="F11" s="3" t="s">
        <v>6</v>
      </c>
      <c r="G11" s="3" t="s">
        <v>20</v>
      </c>
      <c r="H11" s="3" t="s">
        <v>20</v>
      </c>
      <c r="I11" s="3" t="s">
        <v>20</v>
      </c>
      <c r="J11" s="4" t="s">
        <v>34</v>
      </c>
      <c r="K11" s="5" t="s">
        <v>22</v>
      </c>
      <c r="L11" s="6" t="s">
        <v>23</v>
      </c>
      <c r="M11" s="6" t="s">
        <v>23</v>
      </c>
      <c r="N11" s="6" t="s">
        <v>23</v>
      </c>
      <c r="O11" s="3">
        <f>VALUE(RIGHT(F11,1))</f>
        <v>1</v>
      </c>
    </row>
    <row r="12" ht="34" customHeight="1" spans="1:15" x14ac:dyDescent="0.25">
      <c r="A12" s="3" t="s">
        <v>45</v>
      </c>
      <c r="B12" s="4" t="s">
        <v>16</v>
      </c>
      <c r="C12" s="4" t="s">
        <v>46</v>
      </c>
      <c r="D12" s="3" t="s">
        <v>18</v>
      </c>
      <c r="E12" s="4" t="s">
        <v>47</v>
      </c>
      <c r="F12" s="3" t="s">
        <v>6</v>
      </c>
      <c r="G12" s="3" t="s">
        <v>20</v>
      </c>
      <c r="H12" s="3" t="s">
        <v>20</v>
      </c>
      <c r="I12" s="3" t="s">
        <v>20</v>
      </c>
      <c r="J12" s="4" t="s">
        <v>21</v>
      </c>
      <c r="K12" s="5" t="s">
        <v>22</v>
      </c>
      <c r="L12" s="6" t="s">
        <v>23</v>
      </c>
      <c r="M12" s="6" t="s">
        <v>23</v>
      </c>
      <c r="N12" s="6" t="s">
        <v>23</v>
      </c>
      <c r="O12" s="3">
        <f>VALUE(RIGHT(F12,1))</f>
        <v>1</v>
      </c>
    </row>
    <row r="13" ht="34" customHeight="1" spans="1:15" x14ac:dyDescent="0.25">
      <c r="A13" s="3" t="s">
        <v>48</v>
      </c>
      <c r="B13" s="4" t="s">
        <v>16</v>
      </c>
      <c r="C13" s="4" t="s">
        <v>46</v>
      </c>
      <c r="D13" s="3" t="s">
        <v>18</v>
      </c>
      <c r="E13" s="4" t="s">
        <v>49</v>
      </c>
      <c r="F13" s="3" t="s">
        <v>6</v>
      </c>
      <c r="G13" s="3" t="s">
        <v>20</v>
      </c>
      <c r="H13" s="3" t="s">
        <v>20</v>
      </c>
      <c r="I13" s="3" t="s">
        <v>20</v>
      </c>
      <c r="J13" s="4" t="s">
        <v>21</v>
      </c>
      <c r="K13" s="5" t="s">
        <v>22</v>
      </c>
      <c r="L13" s="6" t="s">
        <v>23</v>
      </c>
      <c r="M13" s="6" t="s">
        <v>23</v>
      </c>
      <c r="N13" s="6" t="s">
        <v>23</v>
      </c>
      <c r="O13" s="3">
        <f>VALUE(RIGHT(F13,1))</f>
        <v>1</v>
      </c>
    </row>
    <row r="14" ht="34" customHeight="1" spans="1:15" x14ac:dyDescent="0.25">
      <c r="A14" s="3" t="s">
        <v>50</v>
      </c>
      <c r="B14" s="4" t="s">
        <v>16</v>
      </c>
      <c r="C14" s="4" t="s">
        <v>46</v>
      </c>
      <c r="D14" s="3" t="s">
        <v>51</v>
      </c>
      <c r="E14" s="4" t="s">
        <v>52</v>
      </c>
      <c r="F14" s="3" t="s">
        <v>7</v>
      </c>
      <c r="G14" s="3" t="s">
        <v>23</v>
      </c>
      <c r="H14" s="3" t="s">
        <v>20</v>
      </c>
      <c r="I14" s="3" t="s">
        <v>20</v>
      </c>
      <c r="J14" s="4" t="s">
        <v>21</v>
      </c>
      <c r="K14" s="5" t="s">
        <v>22</v>
      </c>
      <c r="L14" s="6" t="s">
        <v>23</v>
      </c>
      <c r="M14" s="6" t="s">
        <v>23</v>
      </c>
      <c r="N14" s="6" t="s">
        <v>23</v>
      </c>
      <c r="O14" s="3">
        <f>VALUE(RIGHT(F14,1))</f>
        <v>2</v>
      </c>
    </row>
    <row r="15" ht="34" customHeight="1" spans="1:15" x14ac:dyDescent="0.25">
      <c r="A15" s="3" t="s">
        <v>53</v>
      </c>
      <c r="B15" s="4" t="s">
        <v>16</v>
      </c>
      <c r="C15" s="4" t="s">
        <v>46</v>
      </c>
      <c r="D15" s="3" t="s">
        <v>18</v>
      </c>
      <c r="E15" s="4" t="s">
        <v>54</v>
      </c>
      <c r="F15" s="3" t="s">
        <v>7</v>
      </c>
      <c r="G15" s="3" t="s">
        <v>23</v>
      </c>
      <c r="H15" s="3" t="s">
        <v>20</v>
      </c>
      <c r="I15" s="3" t="s">
        <v>20</v>
      </c>
      <c r="J15" s="4" t="s">
        <v>21</v>
      </c>
      <c r="K15" s="5" t="s">
        <v>22</v>
      </c>
      <c r="L15" s="6" t="s">
        <v>23</v>
      </c>
      <c r="M15" s="6" t="s">
        <v>23</v>
      </c>
      <c r="N15" s="6" t="s">
        <v>23</v>
      </c>
      <c r="O15" s="3">
        <f>VALUE(RIGHT(F15,1))</f>
        <v>2</v>
      </c>
    </row>
    <row r="16" ht="34" customHeight="1" spans="1:15" x14ac:dyDescent="0.25">
      <c r="A16" s="3" t="s">
        <v>55</v>
      </c>
      <c r="B16" s="4" t="s">
        <v>16</v>
      </c>
      <c r="C16" s="4" t="s">
        <v>46</v>
      </c>
      <c r="D16" s="3" t="s">
        <v>18</v>
      </c>
      <c r="E16" s="4" t="s">
        <v>56</v>
      </c>
      <c r="F16" s="3" t="s">
        <v>7</v>
      </c>
      <c r="G16" s="3" t="s">
        <v>23</v>
      </c>
      <c r="H16" s="3" t="s">
        <v>20</v>
      </c>
      <c r="I16" s="3" t="s">
        <v>20</v>
      </c>
      <c r="J16" s="4" t="s">
        <v>21</v>
      </c>
      <c r="K16" s="5" t="s">
        <v>22</v>
      </c>
      <c r="L16" s="6" t="s">
        <v>23</v>
      </c>
      <c r="M16" s="6" t="s">
        <v>23</v>
      </c>
      <c r="N16" s="6" t="s">
        <v>23</v>
      </c>
      <c r="O16" s="3">
        <f>VALUE(RIGHT(F16,1))</f>
        <v>2</v>
      </c>
    </row>
    <row r="17" ht="48" customHeight="1" spans="1:15" x14ac:dyDescent="0.25">
      <c r="A17" s="3" t="s">
        <v>57</v>
      </c>
      <c r="B17" s="4" t="s">
        <v>16</v>
      </c>
      <c r="C17" s="4" t="s">
        <v>58</v>
      </c>
      <c r="D17" s="3" t="s">
        <v>18</v>
      </c>
      <c r="E17" s="4" t="s">
        <v>59</v>
      </c>
      <c r="F17" s="3" t="s">
        <v>6</v>
      </c>
      <c r="G17" s="3" t="s">
        <v>20</v>
      </c>
      <c r="H17" s="3" t="s">
        <v>20</v>
      </c>
      <c r="I17" s="3" t="s">
        <v>20</v>
      </c>
      <c r="J17" s="4" t="s">
        <v>60</v>
      </c>
      <c r="K17" s="5" t="s">
        <v>22</v>
      </c>
      <c r="L17" s="6" t="s">
        <v>23</v>
      </c>
      <c r="M17" s="6" t="s">
        <v>23</v>
      </c>
      <c r="N17" s="6" t="s">
        <v>23</v>
      </c>
      <c r="O17" s="3">
        <f>VALUE(RIGHT(F17,1))</f>
        <v>1</v>
      </c>
    </row>
    <row r="18" ht="48" customHeight="1" spans="1:15" x14ac:dyDescent="0.25">
      <c r="A18" s="3" t="s">
        <v>61</v>
      </c>
      <c r="B18" s="4" t="s">
        <v>16</v>
      </c>
      <c r="C18" s="4" t="s">
        <v>58</v>
      </c>
      <c r="D18" s="3" t="s">
        <v>62</v>
      </c>
      <c r="E18" s="4" t="s">
        <v>63</v>
      </c>
      <c r="F18" s="3" t="s">
        <v>6</v>
      </c>
      <c r="G18" s="3" t="s">
        <v>20</v>
      </c>
      <c r="H18" s="3" t="s">
        <v>20</v>
      </c>
      <c r="I18" s="3" t="s">
        <v>20</v>
      </c>
      <c r="J18" s="4" t="s">
        <v>60</v>
      </c>
      <c r="K18" s="5" t="s">
        <v>22</v>
      </c>
      <c r="L18" s="6" t="s">
        <v>23</v>
      </c>
      <c r="M18" s="6" t="s">
        <v>23</v>
      </c>
      <c r="N18" s="6" t="s">
        <v>23</v>
      </c>
      <c r="O18" s="3">
        <f>VALUE(RIGHT(F18,1))</f>
        <v>1</v>
      </c>
    </row>
    <row r="19" ht="48" customHeight="1" spans="1:15" x14ac:dyDescent="0.25">
      <c r="A19" s="3" t="s">
        <v>64</v>
      </c>
      <c r="B19" s="4" t="s">
        <v>16</v>
      </c>
      <c r="C19" s="4" t="s">
        <v>58</v>
      </c>
      <c r="D19" s="3" t="s">
        <v>65</v>
      </c>
      <c r="E19" s="4" t="s">
        <v>66</v>
      </c>
      <c r="F19" s="3" t="s">
        <v>6</v>
      </c>
      <c r="G19" s="3" t="s">
        <v>20</v>
      </c>
      <c r="H19" s="3" t="s">
        <v>20</v>
      </c>
      <c r="I19" s="3" t="s">
        <v>20</v>
      </c>
      <c r="J19" s="4" t="s">
        <v>60</v>
      </c>
      <c r="K19" s="5" t="s">
        <v>22</v>
      </c>
      <c r="L19" s="6" t="s">
        <v>23</v>
      </c>
      <c r="M19" s="6" t="s">
        <v>23</v>
      </c>
      <c r="N19" s="6" t="s">
        <v>23</v>
      </c>
      <c r="O19" s="3">
        <f>VALUE(RIGHT(F19,1))</f>
        <v>1</v>
      </c>
    </row>
    <row r="20" ht="48" customHeight="1" spans="1:15" x14ac:dyDescent="0.25">
      <c r="A20" s="3" t="s">
        <v>67</v>
      </c>
      <c r="B20" s="4" t="s">
        <v>16</v>
      </c>
      <c r="C20" s="4" t="s">
        <v>58</v>
      </c>
      <c r="D20" s="3" t="s">
        <v>18</v>
      </c>
      <c r="E20" s="4" t="s">
        <v>68</v>
      </c>
      <c r="F20" s="3" t="s">
        <v>7</v>
      </c>
      <c r="G20" s="3" t="s">
        <v>23</v>
      </c>
      <c r="H20" s="3" t="s">
        <v>20</v>
      </c>
      <c r="I20" s="3" t="s">
        <v>20</v>
      </c>
      <c r="J20" s="4" t="s">
        <v>60</v>
      </c>
      <c r="K20" s="5" t="s">
        <v>22</v>
      </c>
      <c r="L20" s="6" t="s">
        <v>23</v>
      </c>
      <c r="M20" s="6" t="s">
        <v>23</v>
      </c>
      <c r="N20" s="6" t="s">
        <v>23</v>
      </c>
      <c r="O20" s="3">
        <f>VALUE(RIGHT(F20,1))</f>
        <v>2</v>
      </c>
    </row>
    <row r="21" ht="48" customHeight="1" spans="1:15" x14ac:dyDescent="0.25">
      <c r="A21" s="3" t="s">
        <v>69</v>
      </c>
      <c r="B21" s="4" t="s">
        <v>16</v>
      </c>
      <c r="C21" s="4" t="s">
        <v>58</v>
      </c>
      <c r="D21" s="3" t="s">
        <v>18</v>
      </c>
      <c r="E21" s="4" t="s">
        <v>70</v>
      </c>
      <c r="F21" s="3" t="s">
        <v>8</v>
      </c>
      <c r="G21" s="3" t="s">
        <v>23</v>
      </c>
      <c r="H21" s="3" t="s">
        <v>23</v>
      </c>
      <c r="I21" s="3" t="s">
        <v>20</v>
      </c>
      <c r="J21" s="4" t="s">
        <v>60</v>
      </c>
      <c r="K21" s="5" t="s">
        <v>22</v>
      </c>
      <c r="L21" s="6" t="s">
        <v>23</v>
      </c>
      <c r="M21" s="6" t="s">
        <v>23</v>
      </c>
      <c r="N21" s="6" t="s">
        <v>23</v>
      </c>
      <c r="O21" s="3">
        <f>VALUE(RIGHT(F21,1))</f>
        <v>3</v>
      </c>
    </row>
    <row r="22" ht="34" customHeight="1" spans="1:15" x14ac:dyDescent="0.25">
      <c r="A22" s="3" t="s">
        <v>71</v>
      </c>
      <c r="B22" s="4" t="s">
        <v>16</v>
      </c>
      <c r="C22" s="4" t="s">
        <v>72</v>
      </c>
      <c r="D22" s="3" t="s">
        <v>18</v>
      </c>
      <c r="E22" s="4" t="s">
        <v>73</v>
      </c>
      <c r="F22" s="3" t="s">
        <v>7</v>
      </c>
      <c r="G22" s="3" t="s">
        <v>23</v>
      </c>
      <c r="H22" s="3" t="s">
        <v>20</v>
      </c>
      <c r="I22" s="3" t="s">
        <v>20</v>
      </c>
      <c r="J22" s="4" t="s">
        <v>74</v>
      </c>
      <c r="K22" s="5" t="s">
        <v>22</v>
      </c>
      <c r="L22" s="6" t="s">
        <v>23</v>
      </c>
      <c r="M22" s="6" t="s">
        <v>23</v>
      </c>
      <c r="N22" s="6" t="s">
        <v>23</v>
      </c>
      <c r="O22" s="3">
        <f>VALUE(RIGHT(F22,1))</f>
        <v>2</v>
      </c>
    </row>
    <row r="23" ht="34" customHeight="1" spans="1:15" x14ac:dyDescent="0.25">
      <c r="A23" s="3" t="s">
        <v>75</v>
      </c>
      <c r="B23" s="4" t="s">
        <v>16</v>
      </c>
      <c r="C23" s="4" t="s">
        <v>72</v>
      </c>
      <c r="D23" s="3" t="s">
        <v>76</v>
      </c>
      <c r="E23" s="4" t="s">
        <v>77</v>
      </c>
      <c r="F23" s="3" t="s">
        <v>6</v>
      </c>
      <c r="G23" s="3" t="s">
        <v>20</v>
      </c>
      <c r="H23" s="3" t="s">
        <v>20</v>
      </c>
      <c r="I23" s="3" t="s">
        <v>20</v>
      </c>
      <c r="J23" s="4" t="s">
        <v>74</v>
      </c>
      <c r="K23" s="5" t="s">
        <v>22</v>
      </c>
      <c r="L23" s="6" t="s">
        <v>23</v>
      </c>
      <c r="M23" s="6" t="s">
        <v>23</v>
      </c>
      <c r="N23" s="6" t="s">
        <v>23</v>
      </c>
      <c r="O23" s="3">
        <f>VALUE(RIGHT(F23,1))</f>
        <v>1</v>
      </c>
    </row>
    <row r="24" ht="34" customHeight="1" spans="1:15" x14ac:dyDescent="0.25">
      <c r="A24" s="3" t="s">
        <v>78</v>
      </c>
      <c r="B24" s="4" t="s">
        <v>16</v>
      </c>
      <c r="C24" s="4" t="s">
        <v>72</v>
      </c>
      <c r="D24" s="3" t="s">
        <v>79</v>
      </c>
      <c r="E24" s="4" t="s">
        <v>80</v>
      </c>
      <c r="F24" s="3" t="s">
        <v>7</v>
      </c>
      <c r="G24" s="3" t="s">
        <v>23</v>
      </c>
      <c r="H24" s="3" t="s">
        <v>20</v>
      </c>
      <c r="I24" s="3" t="s">
        <v>20</v>
      </c>
      <c r="J24" s="4" t="s">
        <v>74</v>
      </c>
      <c r="K24" s="5" t="s">
        <v>22</v>
      </c>
      <c r="L24" s="6" t="s">
        <v>23</v>
      </c>
      <c r="M24" s="6" t="s">
        <v>23</v>
      </c>
      <c r="N24" s="6" t="s">
        <v>23</v>
      </c>
      <c r="O24" s="3">
        <f>VALUE(RIGHT(F24,1))</f>
        <v>2</v>
      </c>
    </row>
    <row r="25" ht="48" customHeight="1" spans="1:15" x14ac:dyDescent="0.25">
      <c r="A25" s="3" t="s">
        <v>81</v>
      </c>
      <c r="B25" s="4" t="s">
        <v>82</v>
      </c>
      <c r="C25" s="4" t="s">
        <v>83</v>
      </c>
      <c r="D25" s="3" t="s">
        <v>65</v>
      </c>
      <c r="E25" s="4" t="s">
        <v>84</v>
      </c>
      <c r="F25" s="3" t="s">
        <v>6</v>
      </c>
      <c r="G25" s="3" t="s">
        <v>20</v>
      </c>
      <c r="H25" s="3" t="s">
        <v>20</v>
      </c>
      <c r="I25" s="3" t="s">
        <v>20</v>
      </c>
      <c r="J25" s="4" t="s">
        <v>21</v>
      </c>
      <c r="K25" s="5" t="s">
        <v>22</v>
      </c>
      <c r="L25" s="6" t="s">
        <v>23</v>
      </c>
      <c r="M25" s="6" t="s">
        <v>23</v>
      </c>
      <c r="N25" s="6" t="s">
        <v>23</v>
      </c>
      <c r="O25" s="3">
        <f>VALUE(RIGHT(F25,1))</f>
        <v>1</v>
      </c>
    </row>
    <row r="26" ht="34" customHeight="1" spans="1:15" x14ac:dyDescent="0.25">
      <c r="A26" s="3" t="s">
        <v>85</v>
      </c>
      <c r="B26" s="4" t="s">
        <v>82</v>
      </c>
      <c r="C26" s="4" t="s">
        <v>83</v>
      </c>
      <c r="D26" s="3" t="s">
        <v>65</v>
      </c>
      <c r="E26" s="4" t="s">
        <v>86</v>
      </c>
      <c r="F26" s="3" t="s">
        <v>6</v>
      </c>
      <c r="G26" s="3" t="s">
        <v>20</v>
      </c>
      <c r="H26" s="3" t="s">
        <v>20</v>
      </c>
      <c r="I26" s="3" t="s">
        <v>20</v>
      </c>
      <c r="J26" s="4" t="s">
        <v>21</v>
      </c>
      <c r="K26" s="5" t="s">
        <v>22</v>
      </c>
      <c r="L26" s="6" t="s">
        <v>23</v>
      </c>
      <c r="M26" s="6" t="s">
        <v>23</v>
      </c>
      <c r="N26" s="6" t="s">
        <v>23</v>
      </c>
      <c r="O26" s="3">
        <f>VALUE(RIGHT(F26,1))</f>
        <v>1</v>
      </c>
    </row>
    <row r="27" ht="34" customHeight="1" spans="1:15" x14ac:dyDescent="0.25">
      <c r="A27" s="3" t="s">
        <v>87</v>
      </c>
      <c r="B27" s="4" t="s">
        <v>82</v>
      </c>
      <c r="C27" s="4" t="s">
        <v>83</v>
      </c>
      <c r="D27" s="3" t="s">
        <v>18</v>
      </c>
      <c r="E27" s="4" t="s">
        <v>88</v>
      </c>
      <c r="F27" s="3" t="s">
        <v>7</v>
      </c>
      <c r="G27" s="3" t="s">
        <v>23</v>
      </c>
      <c r="H27" s="3" t="s">
        <v>20</v>
      </c>
      <c r="I27" s="3" t="s">
        <v>20</v>
      </c>
      <c r="J27" s="4" t="s">
        <v>21</v>
      </c>
      <c r="K27" s="5" t="s">
        <v>22</v>
      </c>
      <c r="L27" s="6" t="s">
        <v>23</v>
      </c>
      <c r="M27" s="6" t="s">
        <v>23</v>
      </c>
      <c r="N27" s="6" t="s">
        <v>23</v>
      </c>
      <c r="O27" s="3">
        <f>VALUE(RIGHT(F27,1))</f>
        <v>2</v>
      </c>
    </row>
    <row r="28" ht="34" customHeight="1" spans="1:15" x14ac:dyDescent="0.25">
      <c r="A28" s="3" t="s">
        <v>89</v>
      </c>
      <c r="B28" s="4" t="s">
        <v>82</v>
      </c>
      <c r="C28" s="4" t="s">
        <v>90</v>
      </c>
      <c r="D28" s="3" t="s">
        <v>76</v>
      </c>
      <c r="E28" s="4" t="s">
        <v>91</v>
      </c>
      <c r="F28" s="3" t="s">
        <v>6</v>
      </c>
      <c r="G28" s="3" t="s">
        <v>20</v>
      </c>
      <c r="H28" s="3" t="s">
        <v>20</v>
      </c>
      <c r="I28" s="3" t="s">
        <v>20</v>
      </c>
      <c r="J28" s="4" t="s">
        <v>21</v>
      </c>
      <c r="K28" s="5" t="s">
        <v>22</v>
      </c>
      <c r="L28" s="6" t="s">
        <v>23</v>
      </c>
      <c r="M28" s="6" t="s">
        <v>23</v>
      </c>
      <c r="N28" s="6" t="s">
        <v>23</v>
      </c>
      <c r="O28" s="3">
        <f>VALUE(RIGHT(F28,1))</f>
        <v>1</v>
      </c>
    </row>
    <row r="29" ht="34" customHeight="1" spans="1:15" x14ac:dyDescent="0.25">
      <c r="A29" s="3" t="s">
        <v>92</v>
      </c>
      <c r="B29" s="4" t="s">
        <v>82</v>
      </c>
      <c r="C29" s="4" t="s">
        <v>90</v>
      </c>
      <c r="D29" s="3" t="s">
        <v>76</v>
      </c>
      <c r="E29" s="4" t="s">
        <v>93</v>
      </c>
      <c r="F29" s="3" t="s">
        <v>6</v>
      </c>
      <c r="G29" s="3" t="s">
        <v>20</v>
      </c>
      <c r="H29" s="3" t="s">
        <v>20</v>
      </c>
      <c r="I29" s="3" t="s">
        <v>20</v>
      </c>
      <c r="J29" s="4" t="s">
        <v>21</v>
      </c>
      <c r="K29" s="5" t="s">
        <v>22</v>
      </c>
      <c r="L29" s="6" t="s">
        <v>23</v>
      </c>
      <c r="M29" s="6" t="s">
        <v>23</v>
      </c>
      <c r="N29" s="6" t="s">
        <v>23</v>
      </c>
      <c r="O29" s="3">
        <f>VALUE(RIGHT(F29,1))</f>
        <v>1</v>
      </c>
    </row>
    <row r="30" ht="48" customHeight="1" spans="1:15" x14ac:dyDescent="0.25">
      <c r="A30" s="3" t="s">
        <v>94</v>
      </c>
      <c r="B30" s="4" t="s">
        <v>82</v>
      </c>
      <c r="C30" s="4" t="s">
        <v>90</v>
      </c>
      <c r="D30" s="3" t="s">
        <v>76</v>
      </c>
      <c r="E30" s="4" t="s">
        <v>95</v>
      </c>
      <c r="F30" s="3" t="s">
        <v>7</v>
      </c>
      <c r="G30" s="3" t="s">
        <v>23</v>
      </c>
      <c r="H30" s="3" t="s">
        <v>20</v>
      </c>
      <c r="I30" s="3" t="s">
        <v>20</v>
      </c>
      <c r="J30" s="4" t="s">
        <v>21</v>
      </c>
      <c r="K30" s="5" t="s">
        <v>22</v>
      </c>
      <c r="L30" s="6" t="s">
        <v>23</v>
      </c>
      <c r="M30" s="6" t="s">
        <v>23</v>
      </c>
      <c r="N30" s="6" t="s">
        <v>23</v>
      </c>
      <c r="O30" s="3">
        <f>VALUE(RIGHT(F30,1))</f>
        <v>2</v>
      </c>
    </row>
    <row r="31" ht="34" customHeight="1" spans="1:15" x14ac:dyDescent="0.25">
      <c r="A31" s="3" t="s">
        <v>96</v>
      </c>
      <c r="B31" s="4" t="s">
        <v>82</v>
      </c>
      <c r="C31" s="4" t="s">
        <v>90</v>
      </c>
      <c r="D31" s="3" t="s">
        <v>76</v>
      </c>
      <c r="E31" s="4" t="s">
        <v>97</v>
      </c>
      <c r="F31" s="3" t="s">
        <v>7</v>
      </c>
      <c r="G31" s="3" t="s">
        <v>23</v>
      </c>
      <c r="H31" s="3" t="s">
        <v>20</v>
      </c>
      <c r="I31" s="3" t="s">
        <v>20</v>
      </c>
      <c r="J31" s="4" t="s">
        <v>21</v>
      </c>
      <c r="K31" s="5" t="s">
        <v>22</v>
      </c>
      <c r="L31" s="6" t="s">
        <v>23</v>
      </c>
      <c r="M31" s="6" t="s">
        <v>23</v>
      </c>
      <c r="N31" s="6" t="s">
        <v>23</v>
      </c>
      <c r="O31" s="3">
        <f>VALUE(RIGHT(F31,1))</f>
        <v>2</v>
      </c>
    </row>
    <row r="32" ht="34" customHeight="1" spans="1:15" x14ac:dyDescent="0.25">
      <c r="A32" s="3" t="s">
        <v>98</v>
      </c>
      <c r="B32" s="4" t="s">
        <v>82</v>
      </c>
      <c r="C32" s="4" t="s">
        <v>90</v>
      </c>
      <c r="D32" s="3" t="s">
        <v>76</v>
      </c>
      <c r="E32" s="4" t="s">
        <v>99</v>
      </c>
      <c r="F32" s="3" t="s">
        <v>7</v>
      </c>
      <c r="G32" s="3" t="s">
        <v>23</v>
      </c>
      <c r="H32" s="3" t="s">
        <v>20</v>
      </c>
      <c r="I32" s="3" t="s">
        <v>20</v>
      </c>
      <c r="J32" s="4" t="s">
        <v>21</v>
      </c>
      <c r="K32" s="5" t="s">
        <v>22</v>
      </c>
      <c r="L32" s="6" t="s">
        <v>23</v>
      </c>
      <c r="M32" s="6" t="s">
        <v>23</v>
      </c>
      <c r="N32" s="6" t="s">
        <v>23</v>
      </c>
      <c r="O32" s="3">
        <f>VALUE(RIGHT(F32,1))</f>
        <v>2</v>
      </c>
    </row>
    <row r="33" ht="34" customHeight="1" spans="1:15" x14ac:dyDescent="0.25">
      <c r="A33" s="3" t="s">
        <v>100</v>
      </c>
      <c r="B33" s="4" t="s">
        <v>82</v>
      </c>
      <c r="C33" s="4" t="s">
        <v>90</v>
      </c>
      <c r="D33" s="3" t="s">
        <v>76</v>
      </c>
      <c r="E33" s="4" t="s">
        <v>101</v>
      </c>
      <c r="F33" s="3" t="s">
        <v>8</v>
      </c>
      <c r="G33" s="3" t="s">
        <v>23</v>
      </c>
      <c r="H33" s="3" t="s">
        <v>23</v>
      </c>
      <c r="I33" s="3" t="s">
        <v>20</v>
      </c>
      <c r="J33" s="4" t="s">
        <v>21</v>
      </c>
      <c r="K33" s="5" t="s">
        <v>22</v>
      </c>
      <c r="L33" s="6" t="s">
        <v>23</v>
      </c>
      <c r="M33" s="6" t="s">
        <v>23</v>
      </c>
      <c r="N33" s="6" t="s">
        <v>23</v>
      </c>
      <c r="O33" s="3">
        <f>VALUE(RIGHT(F33,1))</f>
        <v>3</v>
      </c>
    </row>
    <row r="34" ht="34" customHeight="1" spans="1:15" x14ac:dyDescent="0.25">
      <c r="A34" s="3" t="s">
        <v>102</v>
      </c>
      <c r="B34" s="4" t="s">
        <v>82</v>
      </c>
      <c r="C34" s="4" t="s">
        <v>103</v>
      </c>
      <c r="D34" s="3" t="s">
        <v>76</v>
      </c>
      <c r="E34" s="4" t="s">
        <v>104</v>
      </c>
      <c r="F34" s="3" t="s">
        <v>6</v>
      </c>
      <c r="G34" s="3" t="s">
        <v>20</v>
      </c>
      <c r="H34" s="3" t="s">
        <v>20</v>
      </c>
      <c r="I34" s="3" t="s">
        <v>20</v>
      </c>
      <c r="J34" s="4" t="s">
        <v>105</v>
      </c>
      <c r="K34" s="5" t="s">
        <v>22</v>
      </c>
      <c r="L34" s="6" t="s">
        <v>23</v>
      </c>
      <c r="M34" s="6" t="s">
        <v>23</v>
      </c>
      <c r="N34" s="6" t="s">
        <v>23</v>
      </c>
      <c r="O34" s="3">
        <f>VALUE(RIGHT(F34,1))</f>
        <v>1</v>
      </c>
    </row>
    <row r="35" ht="34" customHeight="1" spans="1:15" x14ac:dyDescent="0.25">
      <c r="A35" s="3" t="s">
        <v>106</v>
      </c>
      <c r="B35" s="4" t="s">
        <v>82</v>
      </c>
      <c r="C35" s="4" t="s">
        <v>103</v>
      </c>
      <c r="D35" s="3" t="s">
        <v>76</v>
      </c>
      <c r="E35" s="4" t="s">
        <v>107</v>
      </c>
      <c r="F35" s="3" t="s">
        <v>6</v>
      </c>
      <c r="G35" s="3" t="s">
        <v>20</v>
      </c>
      <c r="H35" s="3" t="s">
        <v>20</v>
      </c>
      <c r="I35" s="3" t="s">
        <v>20</v>
      </c>
      <c r="J35" s="4" t="s">
        <v>105</v>
      </c>
      <c r="K35" s="5" t="s">
        <v>22</v>
      </c>
      <c r="L35" s="6" t="s">
        <v>23</v>
      </c>
      <c r="M35" s="6" t="s">
        <v>23</v>
      </c>
      <c r="N35" s="6" t="s">
        <v>23</v>
      </c>
      <c r="O35" s="3">
        <f>VALUE(RIGHT(F35,1))</f>
        <v>1</v>
      </c>
    </row>
    <row r="36" ht="34" customHeight="1" spans="1:15" x14ac:dyDescent="0.25">
      <c r="A36" s="3" t="s">
        <v>108</v>
      </c>
      <c r="B36" s="4" t="s">
        <v>82</v>
      </c>
      <c r="C36" s="4" t="s">
        <v>103</v>
      </c>
      <c r="D36" s="3" t="s">
        <v>62</v>
      </c>
      <c r="E36" s="4" t="s">
        <v>109</v>
      </c>
      <c r="F36" s="3" t="s">
        <v>6</v>
      </c>
      <c r="G36" s="3" t="s">
        <v>20</v>
      </c>
      <c r="H36" s="3" t="s">
        <v>20</v>
      </c>
      <c r="I36" s="3" t="s">
        <v>20</v>
      </c>
      <c r="J36" s="4" t="s">
        <v>105</v>
      </c>
      <c r="K36" s="5" t="s">
        <v>22</v>
      </c>
      <c r="L36" s="6" t="s">
        <v>23</v>
      </c>
      <c r="M36" s="6" t="s">
        <v>23</v>
      </c>
      <c r="N36" s="6" t="s">
        <v>23</v>
      </c>
      <c r="O36" s="3">
        <f>VALUE(RIGHT(F36,1))</f>
        <v>1</v>
      </c>
    </row>
    <row r="37" ht="34" customHeight="1" spans="1:15" x14ac:dyDescent="0.25">
      <c r="A37" s="3" t="s">
        <v>110</v>
      </c>
      <c r="B37" s="4" t="s">
        <v>82</v>
      </c>
      <c r="C37" s="4" t="s">
        <v>103</v>
      </c>
      <c r="D37" s="3" t="s">
        <v>111</v>
      </c>
      <c r="E37" s="4" t="s">
        <v>112</v>
      </c>
      <c r="F37" s="3" t="s">
        <v>7</v>
      </c>
      <c r="G37" s="3" t="s">
        <v>23</v>
      </c>
      <c r="H37" s="3" t="s">
        <v>20</v>
      </c>
      <c r="I37" s="3" t="s">
        <v>20</v>
      </c>
      <c r="J37" s="4" t="s">
        <v>105</v>
      </c>
      <c r="K37" s="5" t="s">
        <v>22</v>
      </c>
      <c r="L37" s="6" t="s">
        <v>23</v>
      </c>
      <c r="M37" s="6" t="s">
        <v>23</v>
      </c>
      <c r="N37" s="6" t="s">
        <v>23</v>
      </c>
      <c r="O37" s="3">
        <f>VALUE(RIGHT(F37,1))</f>
        <v>2</v>
      </c>
    </row>
    <row r="38" ht="34" customHeight="1" spans="1:15" x14ac:dyDescent="0.25">
      <c r="A38" s="3" t="s">
        <v>113</v>
      </c>
      <c r="B38" s="4" t="s">
        <v>82</v>
      </c>
      <c r="C38" s="4" t="s">
        <v>103</v>
      </c>
      <c r="D38" s="3" t="s">
        <v>111</v>
      </c>
      <c r="E38" s="4" t="s">
        <v>114</v>
      </c>
      <c r="F38" s="3" t="s">
        <v>7</v>
      </c>
      <c r="G38" s="3" t="s">
        <v>23</v>
      </c>
      <c r="H38" s="3" t="s">
        <v>20</v>
      </c>
      <c r="I38" s="3" t="s">
        <v>20</v>
      </c>
      <c r="J38" s="4" t="s">
        <v>105</v>
      </c>
      <c r="K38" s="5" t="s">
        <v>22</v>
      </c>
      <c r="L38" s="6" t="s">
        <v>23</v>
      </c>
      <c r="M38" s="6" t="s">
        <v>23</v>
      </c>
      <c r="N38" s="6" t="s">
        <v>23</v>
      </c>
      <c r="O38" s="3">
        <f>VALUE(RIGHT(F38,1))</f>
        <v>2</v>
      </c>
    </row>
    <row r="39" ht="34" customHeight="1" spans="1:15" x14ac:dyDescent="0.25">
      <c r="A39" s="3" t="s">
        <v>115</v>
      </c>
      <c r="B39" s="4" t="s">
        <v>82</v>
      </c>
      <c r="C39" s="4" t="s">
        <v>103</v>
      </c>
      <c r="D39" s="3" t="s">
        <v>76</v>
      </c>
      <c r="E39" s="4" t="s">
        <v>116</v>
      </c>
      <c r="F39" s="3" t="s">
        <v>7</v>
      </c>
      <c r="G39" s="3" t="s">
        <v>23</v>
      </c>
      <c r="H39" s="3" t="s">
        <v>20</v>
      </c>
      <c r="I39" s="3" t="s">
        <v>20</v>
      </c>
      <c r="J39" s="4" t="s">
        <v>105</v>
      </c>
      <c r="K39" s="5" t="s">
        <v>22</v>
      </c>
      <c r="L39" s="6" t="s">
        <v>23</v>
      </c>
      <c r="M39" s="6" t="s">
        <v>23</v>
      </c>
      <c r="N39" s="6" t="s">
        <v>23</v>
      </c>
      <c r="O39" s="3">
        <f>VALUE(RIGHT(F39,1))</f>
        <v>2</v>
      </c>
    </row>
    <row r="40" ht="34" customHeight="1" spans="1:15" x14ac:dyDescent="0.25">
      <c r="A40" s="3" t="s">
        <v>117</v>
      </c>
      <c r="B40" s="4" t="s">
        <v>82</v>
      </c>
      <c r="C40" s="4" t="s">
        <v>118</v>
      </c>
      <c r="D40" s="3" t="s">
        <v>76</v>
      </c>
      <c r="E40" s="4" t="s">
        <v>119</v>
      </c>
      <c r="F40" s="3" t="s">
        <v>6</v>
      </c>
      <c r="G40" s="3" t="s">
        <v>20</v>
      </c>
      <c r="H40" s="3" t="s">
        <v>20</v>
      </c>
      <c r="I40" s="3" t="s">
        <v>20</v>
      </c>
      <c r="J40" s="4" t="s">
        <v>120</v>
      </c>
      <c r="K40" s="5" t="s">
        <v>22</v>
      </c>
      <c r="L40" s="6" t="s">
        <v>23</v>
      </c>
      <c r="M40" s="6" t="s">
        <v>23</v>
      </c>
      <c r="N40" s="6" t="s">
        <v>23</v>
      </c>
      <c r="O40" s="3">
        <f>VALUE(RIGHT(F40,1))</f>
        <v>1</v>
      </c>
    </row>
    <row r="41" ht="34" customHeight="1" spans="1:15" x14ac:dyDescent="0.25">
      <c r="A41" s="3" t="s">
        <v>121</v>
      </c>
      <c r="B41" s="4" t="s">
        <v>82</v>
      </c>
      <c r="C41" s="4" t="s">
        <v>118</v>
      </c>
      <c r="D41" s="3" t="s">
        <v>62</v>
      </c>
      <c r="E41" s="4" t="s">
        <v>122</v>
      </c>
      <c r="F41" s="3" t="s">
        <v>7</v>
      </c>
      <c r="G41" s="3" t="s">
        <v>23</v>
      </c>
      <c r="H41" s="3" t="s">
        <v>20</v>
      </c>
      <c r="I41" s="3" t="s">
        <v>20</v>
      </c>
      <c r="J41" s="4" t="s">
        <v>120</v>
      </c>
      <c r="K41" s="5" t="s">
        <v>22</v>
      </c>
      <c r="L41" s="6" t="s">
        <v>23</v>
      </c>
      <c r="M41" s="6" t="s">
        <v>23</v>
      </c>
      <c r="N41" s="6" t="s">
        <v>23</v>
      </c>
      <c r="O41" s="3">
        <f>VALUE(RIGHT(F41,1))</f>
        <v>2</v>
      </c>
    </row>
    <row r="42" ht="34" customHeight="1" spans="1:15" x14ac:dyDescent="0.25">
      <c r="A42" s="3" t="s">
        <v>123</v>
      </c>
      <c r="B42" s="4" t="s">
        <v>82</v>
      </c>
      <c r="C42" s="4" t="s">
        <v>118</v>
      </c>
      <c r="D42" s="3" t="s">
        <v>76</v>
      </c>
      <c r="E42" s="4" t="s">
        <v>124</v>
      </c>
      <c r="F42" s="3" t="s">
        <v>6</v>
      </c>
      <c r="G42" s="3" t="s">
        <v>20</v>
      </c>
      <c r="H42" s="3" t="s">
        <v>20</v>
      </c>
      <c r="I42" s="3" t="s">
        <v>20</v>
      </c>
      <c r="J42" s="4" t="s">
        <v>120</v>
      </c>
      <c r="K42" s="5" t="s">
        <v>22</v>
      </c>
      <c r="L42" s="6" t="s">
        <v>23</v>
      </c>
      <c r="M42" s="6" t="s">
        <v>23</v>
      </c>
      <c r="N42" s="6" t="s">
        <v>23</v>
      </c>
      <c r="O42" s="3">
        <f>VALUE(RIGHT(F42,1))</f>
        <v>1</v>
      </c>
    </row>
    <row r="43" ht="34" customHeight="1" spans="1:15" x14ac:dyDescent="0.25">
      <c r="A43" s="3" t="s">
        <v>125</v>
      </c>
      <c r="B43" s="4" t="s">
        <v>82</v>
      </c>
      <c r="C43" s="4" t="s">
        <v>118</v>
      </c>
      <c r="D43" s="3" t="s">
        <v>76</v>
      </c>
      <c r="E43" s="4" t="s">
        <v>126</v>
      </c>
      <c r="F43" s="3" t="s">
        <v>7</v>
      </c>
      <c r="G43" s="3" t="s">
        <v>23</v>
      </c>
      <c r="H43" s="3" t="s">
        <v>20</v>
      </c>
      <c r="I43" s="3" t="s">
        <v>20</v>
      </c>
      <c r="J43" s="4" t="s">
        <v>120</v>
      </c>
      <c r="K43" s="5" t="s">
        <v>22</v>
      </c>
      <c r="L43" s="6" t="s">
        <v>23</v>
      </c>
      <c r="M43" s="6" t="s">
        <v>23</v>
      </c>
      <c r="N43" s="6" t="s">
        <v>23</v>
      </c>
      <c r="O43" s="3">
        <f>VALUE(RIGHT(F43,1))</f>
        <v>2</v>
      </c>
    </row>
    <row r="44" ht="34" customHeight="1" spans="1:15" x14ac:dyDescent="0.25">
      <c r="A44" s="3" t="s">
        <v>127</v>
      </c>
      <c r="B44" s="4" t="s">
        <v>82</v>
      </c>
      <c r="C44" s="4" t="s">
        <v>118</v>
      </c>
      <c r="D44" s="3" t="s">
        <v>76</v>
      </c>
      <c r="E44" s="4" t="s">
        <v>128</v>
      </c>
      <c r="F44" s="3" t="s">
        <v>7</v>
      </c>
      <c r="G44" s="3" t="s">
        <v>23</v>
      </c>
      <c r="H44" s="3" t="s">
        <v>20</v>
      </c>
      <c r="I44" s="3" t="s">
        <v>20</v>
      </c>
      <c r="J44" s="4" t="s">
        <v>120</v>
      </c>
      <c r="K44" s="5" t="s">
        <v>22</v>
      </c>
      <c r="L44" s="6" t="s">
        <v>23</v>
      </c>
      <c r="M44" s="6" t="s">
        <v>23</v>
      </c>
      <c r="N44" s="6" t="s">
        <v>23</v>
      </c>
      <c r="O44" s="3">
        <f>VALUE(RIGHT(F44,1))</f>
        <v>2</v>
      </c>
    </row>
    <row r="45" ht="34" customHeight="1" spans="1:15" x14ac:dyDescent="0.25">
      <c r="A45" s="3" t="s">
        <v>129</v>
      </c>
      <c r="B45" s="4" t="s">
        <v>82</v>
      </c>
      <c r="C45" s="4" t="s">
        <v>118</v>
      </c>
      <c r="D45" s="3" t="s">
        <v>18</v>
      </c>
      <c r="E45" s="4" t="s">
        <v>130</v>
      </c>
      <c r="F45" s="3" t="s">
        <v>7</v>
      </c>
      <c r="G45" s="3" t="s">
        <v>23</v>
      </c>
      <c r="H45" s="3" t="s">
        <v>20</v>
      </c>
      <c r="I45" s="3" t="s">
        <v>20</v>
      </c>
      <c r="J45" s="4" t="s">
        <v>120</v>
      </c>
      <c r="K45" s="5" t="s">
        <v>22</v>
      </c>
      <c r="L45" s="6" t="s">
        <v>23</v>
      </c>
      <c r="M45" s="6" t="s">
        <v>23</v>
      </c>
      <c r="N45" s="6" t="s">
        <v>23</v>
      </c>
      <c r="O45" s="3">
        <f>VALUE(RIGHT(F45,1))</f>
        <v>2</v>
      </c>
    </row>
    <row r="46" ht="48" customHeight="1" spans="1:15" x14ac:dyDescent="0.25">
      <c r="A46" s="3" t="s">
        <v>131</v>
      </c>
      <c r="B46" s="4" t="s">
        <v>82</v>
      </c>
      <c r="C46" s="4" t="s">
        <v>118</v>
      </c>
      <c r="D46" s="3" t="s">
        <v>18</v>
      </c>
      <c r="E46" s="4" t="s">
        <v>132</v>
      </c>
      <c r="F46" s="3" t="s">
        <v>8</v>
      </c>
      <c r="G46" s="3" t="s">
        <v>23</v>
      </c>
      <c r="H46" s="3" t="s">
        <v>23</v>
      </c>
      <c r="I46" s="3" t="s">
        <v>20</v>
      </c>
      <c r="J46" s="4" t="s">
        <v>120</v>
      </c>
      <c r="K46" s="5" t="s">
        <v>22</v>
      </c>
      <c r="L46" s="6" t="s">
        <v>23</v>
      </c>
      <c r="M46" s="6" t="s">
        <v>23</v>
      </c>
      <c r="N46" s="6" t="s">
        <v>23</v>
      </c>
      <c r="O46" s="3">
        <f>VALUE(RIGHT(F46,1))</f>
        <v>3</v>
      </c>
    </row>
    <row r="47" ht="48" customHeight="1" spans="1:15" x14ac:dyDescent="0.25">
      <c r="A47" s="3" t="s">
        <v>133</v>
      </c>
      <c r="B47" s="4" t="s">
        <v>82</v>
      </c>
      <c r="C47" s="4" t="s">
        <v>134</v>
      </c>
      <c r="D47" s="3" t="s">
        <v>76</v>
      </c>
      <c r="E47" s="4" t="s">
        <v>135</v>
      </c>
      <c r="F47" s="3" t="s">
        <v>7</v>
      </c>
      <c r="G47" s="3" t="s">
        <v>23</v>
      </c>
      <c r="H47" s="3" t="s">
        <v>20</v>
      </c>
      <c r="I47" s="3" t="s">
        <v>20</v>
      </c>
      <c r="J47" s="4" t="s">
        <v>136</v>
      </c>
      <c r="K47" s="5" t="s">
        <v>22</v>
      </c>
      <c r="L47" s="6" t="s">
        <v>23</v>
      </c>
      <c r="M47" s="6" t="s">
        <v>23</v>
      </c>
      <c r="N47" s="6" t="s">
        <v>23</v>
      </c>
      <c r="O47" s="3">
        <f>VALUE(RIGHT(F47,1))</f>
        <v>2</v>
      </c>
    </row>
    <row r="48" ht="48" customHeight="1" spans="1:15" x14ac:dyDescent="0.25">
      <c r="A48" s="3" t="s">
        <v>137</v>
      </c>
      <c r="B48" s="4" t="s">
        <v>82</v>
      </c>
      <c r="C48" s="4" t="s">
        <v>134</v>
      </c>
      <c r="D48" s="3" t="s">
        <v>79</v>
      </c>
      <c r="E48" s="4" t="s">
        <v>138</v>
      </c>
      <c r="F48" s="3" t="s">
        <v>7</v>
      </c>
      <c r="G48" s="3" t="s">
        <v>23</v>
      </c>
      <c r="H48" s="3" t="s">
        <v>20</v>
      </c>
      <c r="I48" s="3" t="s">
        <v>20</v>
      </c>
      <c r="J48" s="4" t="s">
        <v>136</v>
      </c>
      <c r="K48" s="5" t="s">
        <v>22</v>
      </c>
      <c r="L48" s="6" t="s">
        <v>23</v>
      </c>
      <c r="M48" s="6" t="s">
        <v>23</v>
      </c>
      <c r="N48" s="6" t="s">
        <v>23</v>
      </c>
      <c r="O48" s="3">
        <f>VALUE(RIGHT(F48,1))</f>
        <v>2</v>
      </c>
    </row>
    <row r="49" ht="48" customHeight="1" spans="1:15" x14ac:dyDescent="0.25">
      <c r="A49" s="3" t="s">
        <v>139</v>
      </c>
      <c r="B49" s="4" t="s">
        <v>82</v>
      </c>
      <c r="C49" s="4" t="s">
        <v>134</v>
      </c>
      <c r="D49" s="3" t="s">
        <v>76</v>
      </c>
      <c r="E49" s="4" t="s">
        <v>140</v>
      </c>
      <c r="F49" s="3" t="s">
        <v>8</v>
      </c>
      <c r="G49" s="3" t="s">
        <v>23</v>
      </c>
      <c r="H49" s="3" t="s">
        <v>23</v>
      </c>
      <c r="I49" s="3" t="s">
        <v>20</v>
      </c>
      <c r="J49" s="4" t="s">
        <v>136</v>
      </c>
      <c r="K49" s="5" t="s">
        <v>22</v>
      </c>
      <c r="L49" s="6" t="s">
        <v>23</v>
      </c>
      <c r="M49" s="6" t="s">
        <v>23</v>
      </c>
      <c r="N49" s="6" t="s">
        <v>23</v>
      </c>
      <c r="O49" s="3">
        <f>VALUE(RIGHT(F49,1))</f>
        <v>3</v>
      </c>
    </row>
    <row r="50" ht="34" customHeight="1" spans="1:15" x14ac:dyDescent="0.25">
      <c r="A50" s="3" t="s">
        <v>141</v>
      </c>
      <c r="B50" s="4" t="s">
        <v>82</v>
      </c>
      <c r="C50" s="4" t="s">
        <v>142</v>
      </c>
      <c r="D50" s="3" t="s">
        <v>32</v>
      </c>
      <c r="E50" s="4" t="s">
        <v>143</v>
      </c>
      <c r="F50" s="3" t="s">
        <v>6</v>
      </c>
      <c r="G50" s="3" t="s">
        <v>20</v>
      </c>
      <c r="H50" s="3" t="s">
        <v>20</v>
      </c>
      <c r="I50" s="3" t="s">
        <v>20</v>
      </c>
      <c r="J50" s="4" t="s">
        <v>144</v>
      </c>
      <c r="K50" s="5" t="s">
        <v>22</v>
      </c>
      <c r="L50" s="6" t="s">
        <v>23</v>
      </c>
      <c r="M50" s="6" t="s">
        <v>23</v>
      </c>
      <c r="N50" s="6" t="s">
        <v>23</v>
      </c>
      <c r="O50" s="3">
        <f>VALUE(RIGHT(F50,1))</f>
        <v>1</v>
      </c>
    </row>
    <row r="51" ht="34" customHeight="1" spans="1:15" x14ac:dyDescent="0.25">
      <c r="A51" s="3" t="s">
        <v>145</v>
      </c>
      <c r="B51" s="4" t="s">
        <v>82</v>
      </c>
      <c r="C51" s="4" t="s">
        <v>142</v>
      </c>
      <c r="D51" s="3" t="s">
        <v>111</v>
      </c>
      <c r="E51" s="4" t="s">
        <v>146</v>
      </c>
      <c r="F51" s="3" t="s">
        <v>6</v>
      </c>
      <c r="G51" s="3" t="s">
        <v>20</v>
      </c>
      <c r="H51" s="3" t="s">
        <v>20</v>
      </c>
      <c r="I51" s="3" t="s">
        <v>20</v>
      </c>
      <c r="J51" s="4" t="s">
        <v>144</v>
      </c>
      <c r="K51" s="5" t="s">
        <v>22</v>
      </c>
      <c r="L51" s="6" t="s">
        <v>23</v>
      </c>
      <c r="M51" s="6" t="s">
        <v>23</v>
      </c>
      <c r="N51" s="6" t="s">
        <v>23</v>
      </c>
      <c r="O51" s="3">
        <f>VALUE(RIGHT(F51,1))</f>
        <v>1</v>
      </c>
    </row>
    <row r="52" ht="34" customHeight="1" spans="1:15" x14ac:dyDescent="0.25">
      <c r="A52" s="3" t="s">
        <v>147</v>
      </c>
      <c r="B52" s="4" t="s">
        <v>82</v>
      </c>
      <c r="C52" s="4" t="s">
        <v>142</v>
      </c>
      <c r="D52" s="3" t="s">
        <v>79</v>
      </c>
      <c r="E52" s="4" t="s">
        <v>148</v>
      </c>
      <c r="F52" s="3" t="s">
        <v>7</v>
      </c>
      <c r="G52" s="3" t="s">
        <v>23</v>
      </c>
      <c r="H52" s="3" t="s">
        <v>20</v>
      </c>
      <c r="I52" s="3" t="s">
        <v>20</v>
      </c>
      <c r="J52" s="4" t="s">
        <v>144</v>
      </c>
      <c r="K52" s="5" t="s">
        <v>22</v>
      </c>
      <c r="L52" s="6" t="s">
        <v>23</v>
      </c>
      <c r="M52" s="6" t="s">
        <v>23</v>
      </c>
      <c r="N52" s="6" t="s">
        <v>23</v>
      </c>
      <c r="O52" s="3">
        <f>VALUE(RIGHT(F52,1))</f>
        <v>2</v>
      </c>
    </row>
    <row r="53" ht="34" customHeight="1" spans="1:15" x14ac:dyDescent="0.25">
      <c r="A53" s="3" t="s">
        <v>149</v>
      </c>
      <c r="B53" s="4" t="s">
        <v>150</v>
      </c>
      <c r="C53" s="4" t="s">
        <v>151</v>
      </c>
      <c r="D53" s="3" t="s">
        <v>76</v>
      </c>
      <c r="E53" s="4" t="s">
        <v>152</v>
      </c>
      <c r="F53" s="3" t="s">
        <v>6</v>
      </c>
      <c r="G53" s="3" t="s">
        <v>20</v>
      </c>
      <c r="H53" s="3" t="s">
        <v>20</v>
      </c>
      <c r="I53" s="3" t="s">
        <v>20</v>
      </c>
      <c r="J53" s="4" t="s">
        <v>21</v>
      </c>
      <c r="K53" s="5" t="s">
        <v>22</v>
      </c>
      <c r="L53" s="6" t="s">
        <v>23</v>
      </c>
      <c r="M53" s="6" t="s">
        <v>23</v>
      </c>
      <c r="N53" s="6" t="s">
        <v>23</v>
      </c>
      <c r="O53" s="3">
        <f>VALUE(RIGHT(F53,1))</f>
        <v>1</v>
      </c>
    </row>
    <row r="54" ht="34" customHeight="1" spans="1:15" x14ac:dyDescent="0.25">
      <c r="A54" s="3" t="s">
        <v>153</v>
      </c>
      <c r="B54" s="4" t="s">
        <v>150</v>
      </c>
      <c r="C54" s="4" t="s">
        <v>151</v>
      </c>
      <c r="D54" s="3" t="s">
        <v>76</v>
      </c>
      <c r="E54" s="4" t="s">
        <v>154</v>
      </c>
      <c r="F54" s="3" t="s">
        <v>6</v>
      </c>
      <c r="G54" s="3" t="s">
        <v>20</v>
      </c>
      <c r="H54" s="3" t="s">
        <v>20</v>
      </c>
      <c r="I54" s="3" t="s">
        <v>20</v>
      </c>
      <c r="J54" s="4" t="s">
        <v>21</v>
      </c>
      <c r="K54" s="5" t="s">
        <v>22</v>
      </c>
      <c r="L54" s="6" t="s">
        <v>23</v>
      </c>
      <c r="M54" s="6" t="s">
        <v>23</v>
      </c>
      <c r="N54" s="6" t="s">
        <v>23</v>
      </c>
      <c r="O54" s="3">
        <f>VALUE(RIGHT(F54,1))</f>
        <v>1</v>
      </c>
    </row>
    <row r="55" ht="34" customHeight="1" spans="1:15" x14ac:dyDescent="0.25">
      <c r="A55" s="3" t="s">
        <v>155</v>
      </c>
      <c r="B55" s="4" t="s">
        <v>150</v>
      </c>
      <c r="C55" s="4" t="s">
        <v>151</v>
      </c>
      <c r="D55" s="3" t="s">
        <v>76</v>
      </c>
      <c r="E55" s="4" t="s">
        <v>156</v>
      </c>
      <c r="F55" s="3" t="s">
        <v>6</v>
      </c>
      <c r="G55" s="3" t="s">
        <v>20</v>
      </c>
      <c r="H55" s="3" t="s">
        <v>20</v>
      </c>
      <c r="I55" s="3" t="s">
        <v>20</v>
      </c>
      <c r="J55" s="4" t="s">
        <v>21</v>
      </c>
      <c r="K55" s="5" t="s">
        <v>22</v>
      </c>
      <c r="L55" s="6" t="s">
        <v>23</v>
      </c>
      <c r="M55" s="6" t="s">
        <v>23</v>
      </c>
      <c r="N55" s="6" t="s">
        <v>23</v>
      </c>
      <c r="O55" s="3">
        <f>VALUE(RIGHT(F55,1))</f>
        <v>1</v>
      </c>
    </row>
    <row r="56" ht="34" customHeight="1" spans="1:15" x14ac:dyDescent="0.25">
      <c r="A56" s="3" t="s">
        <v>157</v>
      </c>
      <c r="B56" s="4" t="s">
        <v>150</v>
      </c>
      <c r="C56" s="4" t="s">
        <v>151</v>
      </c>
      <c r="D56" s="3" t="s">
        <v>76</v>
      </c>
      <c r="E56" s="4" t="s">
        <v>158</v>
      </c>
      <c r="F56" s="3" t="s">
        <v>7</v>
      </c>
      <c r="G56" s="3" t="s">
        <v>23</v>
      </c>
      <c r="H56" s="3" t="s">
        <v>20</v>
      </c>
      <c r="I56" s="3" t="s">
        <v>20</v>
      </c>
      <c r="J56" s="4" t="s">
        <v>21</v>
      </c>
      <c r="K56" s="5" t="s">
        <v>22</v>
      </c>
      <c r="L56" s="6" t="s">
        <v>23</v>
      </c>
      <c r="M56" s="6" t="s">
        <v>23</v>
      </c>
      <c r="N56" s="6" t="s">
        <v>23</v>
      </c>
      <c r="O56" s="3">
        <f>VALUE(RIGHT(F56,1))</f>
        <v>2</v>
      </c>
    </row>
    <row r="57" ht="48" customHeight="1" spans="1:15" x14ac:dyDescent="0.25">
      <c r="A57" s="3" t="s">
        <v>159</v>
      </c>
      <c r="B57" s="4" t="s">
        <v>150</v>
      </c>
      <c r="C57" s="4" t="s">
        <v>160</v>
      </c>
      <c r="D57" s="3" t="s">
        <v>62</v>
      </c>
      <c r="E57" s="4" t="s">
        <v>161</v>
      </c>
      <c r="F57" s="3" t="s">
        <v>6</v>
      </c>
      <c r="G57" s="3" t="s">
        <v>20</v>
      </c>
      <c r="H57" s="3" t="s">
        <v>20</v>
      </c>
      <c r="I57" s="3" t="s">
        <v>20</v>
      </c>
      <c r="J57" s="4" t="s">
        <v>21</v>
      </c>
      <c r="K57" s="5" t="s">
        <v>22</v>
      </c>
      <c r="L57" s="6" t="s">
        <v>23</v>
      </c>
      <c r="M57" s="6" t="s">
        <v>23</v>
      </c>
      <c r="N57" s="6" t="s">
        <v>23</v>
      </c>
      <c r="O57" s="3">
        <f>VALUE(RIGHT(F57,1))</f>
        <v>1</v>
      </c>
    </row>
    <row r="58" ht="34" customHeight="1" spans="1:15" x14ac:dyDescent="0.25">
      <c r="A58" s="3" t="s">
        <v>162</v>
      </c>
      <c r="B58" s="4" t="s">
        <v>150</v>
      </c>
      <c r="C58" s="4" t="s">
        <v>160</v>
      </c>
      <c r="D58" s="3" t="s">
        <v>62</v>
      </c>
      <c r="E58" s="4" t="s">
        <v>163</v>
      </c>
      <c r="F58" s="3" t="s">
        <v>7</v>
      </c>
      <c r="G58" s="3" t="s">
        <v>23</v>
      </c>
      <c r="H58" s="3" t="s">
        <v>20</v>
      </c>
      <c r="I58" s="3" t="s">
        <v>20</v>
      </c>
      <c r="J58" s="4" t="s">
        <v>21</v>
      </c>
      <c r="K58" s="5" t="s">
        <v>22</v>
      </c>
      <c r="L58" s="6" t="s">
        <v>23</v>
      </c>
      <c r="M58" s="6" t="s">
        <v>23</v>
      </c>
      <c r="N58" s="6" t="s">
        <v>23</v>
      </c>
      <c r="O58" s="3">
        <f>VALUE(RIGHT(F58,1))</f>
        <v>2</v>
      </c>
    </row>
    <row r="59" ht="34" customHeight="1" spans="1:15" x14ac:dyDescent="0.25">
      <c r="A59" s="3" t="s">
        <v>164</v>
      </c>
      <c r="B59" s="4" t="s">
        <v>150</v>
      </c>
      <c r="C59" s="4" t="s">
        <v>160</v>
      </c>
      <c r="D59" s="3" t="s">
        <v>62</v>
      </c>
      <c r="E59" s="4" t="s">
        <v>165</v>
      </c>
      <c r="F59" s="3" t="s">
        <v>7</v>
      </c>
      <c r="G59" s="3" t="s">
        <v>23</v>
      </c>
      <c r="H59" s="3" t="s">
        <v>20</v>
      </c>
      <c r="I59" s="3" t="s">
        <v>20</v>
      </c>
      <c r="J59" s="4" t="s">
        <v>21</v>
      </c>
      <c r="K59" s="5" t="s">
        <v>22</v>
      </c>
      <c r="L59" s="6" t="s">
        <v>23</v>
      </c>
      <c r="M59" s="6" t="s">
        <v>23</v>
      </c>
      <c r="N59" s="6" t="s">
        <v>23</v>
      </c>
      <c r="O59" s="3">
        <f>VALUE(RIGHT(F59,1))</f>
        <v>2</v>
      </c>
    </row>
    <row r="60" ht="34" customHeight="1" spans="1:15" x14ac:dyDescent="0.25">
      <c r="A60" s="3" t="s">
        <v>166</v>
      </c>
      <c r="B60" s="4" t="s">
        <v>150</v>
      </c>
      <c r="C60" s="4" t="s">
        <v>160</v>
      </c>
      <c r="D60" s="3" t="s">
        <v>62</v>
      </c>
      <c r="E60" s="4" t="s">
        <v>167</v>
      </c>
      <c r="F60" s="3" t="s">
        <v>6</v>
      </c>
      <c r="G60" s="3" t="s">
        <v>20</v>
      </c>
      <c r="H60" s="3" t="s">
        <v>20</v>
      </c>
      <c r="I60" s="3" t="s">
        <v>20</v>
      </c>
      <c r="J60" s="4" t="s">
        <v>21</v>
      </c>
      <c r="K60" s="5" t="s">
        <v>22</v>
      </c>
      <c r="L60" s="6" t="s">
        <v>23</v>
      </c>
      <c r="M60" s="6" t="s">
        <v>23</v>
      </c>
      <c r="N60" s="6" t="s">
        <v>23</v>
      </c>
      <c r="O60" s="3">
        <f>VALUE(RIGHT(F60,1))</f>
        <v>1</v>
      </c>
    </row>
    <row r="61" ht="34" customHeight="1" spans="1:15" x14ac:dyDescent="0.25">
      <c r="A61" s="3" t="s">
        <v>168</v>
      </c>
      <c r="B61" s="4" t="s">
        <v>150</v>
      </c>
      <c r="C61" s="4" t="s">
        <v>160</v>
      </c>
      <c r="D61" s="3" t="s">
        <v>76</v>
      </c>
      <c r="E61" s="4" t="s">
        <v>169</v>
      </c>
      <c r="F61" s="3" t="s">
        <v>8</v>
      </c>
      <c r="G61" s="3" t="s">
        <v>23</v>
      </c>
      <c r="H61" s="3" t="s">
        <v>23</v>
      </c>
      <c r="I61" s="3" t="s">
        <v>20</v>
      </c>
      <c r="J61" s="4" t="s">
        <v>21</v>
      </c>
      <c r="K61" s="5" t="s">
        <v>22</v>
      </c>
      <c r="L61" s="6" t="s">
        <v>23</v>
      </c>
      <c r="M61" s="6" t="s">
        <v>23</v>
      </c>
      <c r="N61" s="6" t="s">
        <v>23</v>
      </c>
      <c r="O61" s="3">
        <f>VALUE(RIGHT(F61,1))</f>
        <v>3</v>
      </c>
    </row>
    <row r="62" ht="34" customHeight="1" spans="1:15" x14ac:dyDescent="0.25">
      <c r="A62" s="3" t="s">
        <v>170</v>
      </c>
      <c r="B62" s="4" t="s">
        <v>150</v>
      </c>
      <c r="C62" s="4" t="s">
        <v>171</v>
      </c>
      <c r="D62" s="3" t="s">
        <v>62</v>
      </c>
      <c r="E62" s="4" t="s">
        <v>172</v>
      </c>
      <c r="F62" s="3" t="s">
        <v>7</v>
      </c>
      <c r="G62" s="3" t="s">
        <v>23</v>
      </c>
      <c r="H62" s="3" t="s">
        <v>20</v>
      </c>
      <c r="I62" s="3" t="s">
        <v>20</v>
      </c>
      <c r="J62" s="4" t="s">
        <v>21</v>
      </c>
      <c r="K62" s="5" t="s">
        <v>22</v>
      </c>
      <c r="L62" s="6" t="s">
        <v>23</v>
      </c>
      <c r="M62" s="6" t="s">
        <v>23</v>
      </c>
      <c r="N62" s="6" t="s">
        <v>23</v>
      </c>
      <c r="O62" s="3">
        <f>VALUE(RIGHT(F62,1))</f>
        <v>2</v>
      </c>
    </row>
    <row r="63" ht="20" customHeight="1" spans="1:15" x14ac:dyDescent="0.25">
      <c r="A63" s="3" t="s">
        <v>173</v>
      </c>
      <c r="B63" s="4" t="s">
        <v>150</v>
      </c>
      <c r="C63" s="4" t="s">
        <v>171</v>
      </c>
      <c r="D63" s="3" t="s">
        <v>62</v>
      </c>
      <c r="E63" s="4" t="s">
        <v>174</v>
      </c>
      <c r="F63" s="3" t="s">
        <v>7</v>
      </c>
      <c r="G63" s="3" t="s">
        <v>23</v>
      </c>
      <c r="H63" s="3" t="s">
        <v>20</v>
      </c>
      <c r="I63" s="3" t="s">
        <v>20</v>
      </c>
      <c r="J63" s="4" t="s">
        <v>21</v>
      </c>
      <c r="K63" s="5" t="s">
        <v>22</v>
      </c>
      <c r="L63" s="6" t="s">
        <v>23</v>
      </c>
      <c r="M63" s="6" t="s">
        <v>23</v>
      </c>
      <c r="N63" s="6" t="s">
        <v>23</v>
      </c>
      <c r="O63" s="3">
        <f>VALUE(RIGHT(F63,1))</f>
        <v>2</v>
      </c>
    </row>
    <row r="64" ht="34" customHeight="1" spans="1:15" x14ac:dyDescent="0.25">
      <c r="A64" s="3" t="s">
        <v>175</v>
      </c>
      <c r="B64" s="4" t="s">
        <v>150</v>
      </c>
      <c r="C64" s="4" t="s">
        <v>176</v>
      </c>
      <c r="D64" s="3" t="s">
        <v>62</v>
      </c>
      <c r="E64" s="4" t="s">
        <v>177</v>
      </c>
      <c r="F64" s="3" t="s">
        <v>6</v>
      </c>
      <c r="G64" s="3" t="s">
        <v>20</v>
      </c>
      <c r="H64" s="3" t="s">
        <v>20</v>
      </c>
      <c r="I64" s="3" t="s">
        <v>20</v>
      </c>
      <c r="J64" s="4" t="s">
        <v>21</v>
      </c>
      <c r="K64" s="5" t="s">
        <v>22</v>
      </c>
      <c r="L64" s="6" t="s">
        <v>23</v>
      </c>
      <c r="M64" s="6" t="s">
        <v>23</v>
      </c>
      <c r="N64" s="6" t="s">
        <v>23</v>
      </c>
      <c r="O64" s="3">
        <f>VALUE(RIGHT(F64,1))</f>
        <v>1</v>
      </c>
    </row>
    <row r="65" ht="34" customHeight="1" spans="1:15" x14ac:dyDescent="0.25">
      <c r="A65" s="3" t="s">
        <v>178</v>
      </c>
      <c r="B65" s="4" t="s">
        <v>150</v>
      </c>
      <c r="C65" s="4" t="s">
        <v>176</v>
      </c>
      <c r="D65" s="3" t="s">
        <v>62</v>
      </c>
      <c r="E65" s="4" t="s">
        <v>179</v>
      </c>
      <c r="F65" s="3" t="s">
        <v>6</v>
      </c>
      <c r="G65" s="3" t="s">
        <v>20</v>
      </c>
      <c r="H65" s="3" t="s">
        <v>20</v>
      </c>
      <c r="I65" s="3" t="s">
        <v>20</v>
      </c>
      <c r="J65" s="4" t="s">
        <v>21</v>
      </c>
      <c r="K65" s="5" t="s">
        <v>22</v>
      </c>
      <c r="L65" s="6" t="s">
        <v>23</v>
      </c>
      <c r="M65" s="6" t="s">
        <v>23</v>
      </c>
      <c r="N65" s="6" t="s">
        <v>23</v>
      </c>
      <c r="O65" s="3">
        <f>VALUE(RIGHT(F65,1))</f>
        <v>1</v>
      </c>
    </row>
    <row r="66" ht="34" customHeight="1" spans="1:15" x14ac:dyDescent="0.25">
      <c r="A66" s="3" t="s">
        <v>180</v>
      </c>
      <c r="B66" s="4" t="s">
        <v>150</v>
      </c>
      <c r="C66" s="4" t="s">
        <v>176</v>
      </c>
      <c r="D66" s="3" t="s">
        <v>62</v>
      </c>
      <c r="E66" s="4" t="s">
        <v>181</v>
      </c>
      <c r="F66" s="3" t="s">
        <v>6</v>
      </c>
      <c r="G66" s="3" t="s">
        <v>20</v>
      </c>
      <c r="H66" s="3" t="s">
        <v>20</v>
      </c>
      <c r="I66" s="3" t="s">
        <v>20</v>
      </c>
      <c r="J66" s="4" t="s">
        <v>21</v>
      </c>
      <c r="K66" s="5" t="s">
        <v>22</v>
      </c>
      <c r="L66" s="6" t="s">
        <v>23</v>
      </c>
      <c r="M66" s="6" t="s">
        <v>23</v>
      </c>
      <c r="N66" s="6" t="s">
        <v>23</v>
      </c>
      <c r="O66" s="3">
        <f>VALUE(RIGHT(F66,1))</f>
        <v>1</v>
      </c>
    </row>
    <row r="67" ht="20" customHeight="1" spans="1:15" x14ac:dyDescent="0.25">
      <c r="A67" s="3" t="s">
        <v>182</v>
      </c>
      <c r="B67" s="4" t="s">
        <v>150</v>
      </c>
      <c r="C67" s="4" t="s">
        <v>176</v>
      </c>
      <c r="D67" s="3" t="s">
        <v>62</v>
      </c>
      <c r="E67" s="4" t="s">
        <v>183</v>
      </c>
      <c r="F67" s="3" t="s">
        <v>7</v>
      </c>
      <c r="G67" s="3" t="s">
        <v>23</v>
      </c>
      <c r="H67" s="3" t="s">
        <v>20</v>
      </c>
      <c r="I67" s="3" t="s">
        <v>20</v>
      </c>
      <c r="J67" s="4" t="s">
        <v>21</v>
      </c>
      <c r="K67" s="5" t="s">
        <v>22</v>
      </c>
      <c r="L67" s="6" t="s">
        <v>23</v>
      </c>
      <c r="M67" s="6" t="s">
        <v>23</v>
      </c>
      <c r="N67" s="6" t="s">
        <v>23</v>
      </c>
      <c r="O67" s="3">
        <f>VALUE(RIGHT(F67,1))</f>
        <v>2</v>
      </c>
    </row>
    <row r="68" ht="20" customHeight="1" spans="1:15" x14ac:dyDescent="0.25">
      <c r="A68" s="3" t="s">
        <v>184</v>
      </c>
      <c r="B68" s="4" t="s">
        <v>150</v>
      </c>
      <c r="C68" s="4" t="s">
        <v>176</v>
      </c>
      <c r="D68" s="3" t="s">
        <v>62</v>
      </c>
      <c r="E68" s="4" t="s">
        <v>185</v>
      </c>
      <c r="F68" s="3" t="s">
        <v>7</v>
      </c>
      <c r="G68" s="3" t="s">
        <v>23</v>
      </c>
      <c r="H68" s="3" t="s">
        <v>20</v>
      </c>
      <c r="I68" s="3" t="s">
        <v>20</v>
      </c>
      <c r="J68" s="4" t="s">
        <v>21</v>
      </c>
      <c r="K68" s="5" t="s">
        <v>22</v>
      </c>
      <c r="L68" s="6" t="s">
        <v>23</v>
      </c>
      <c r="M68" s="6" t="s">
        <v>23</v>
      </c>
      <c r="N68" s="6" t="s">
        <v>23</v>
      </c>
      <c r="O68" s="3">
        <f>VALUE(RIGHT(F68,1))</f>
        <v>2</v>
      </c>
    </row>
    <row r="69" ht="34" customHeight="1" spans="1:15" x14ac:dyDescent="0.25">
      <c r="A69" s="3" t="s">
        <v>186</v>
      </c>
      <c r="B69" s="4" t="s">
        <v>150</v>
      </c>
      <c r="C69" s="4" t="s">
        <v>176</v>
      </c>
      <c r="D69" s="3" t="s">
        <v>76</v>
      </c>
      <c r="E69" s="4" t="s">
        <v>187</v>
      </c>
      <c r="F69" s="3" t="s">
        <v>7</v>
      </c>
      <c r="G69" s="3" t="s">
        <v>23</v>
      </c>
      <c r="H69" s="3" t="s">
        <v>20</v>
      </c>
      <c r="I69" s="3" t="s">
        <v>20</v>
      </c>
      <c r="J69" s="4" t="s">
        <v>21</v>
      </c>
      <c r="K69" s="5" t="s">
        <v>22</v>
      </c>
      <c r="L69" s="6" t="s">
        <v>23</v>
      </c>
      <c r="M69" s="6" t="s">
        <v>23</v>
      </c>
      <c r="N69" s="6" t="s">
        <v>23</v>
      </c>
      <c r="O69" s="3">
        <f>VALUE(RIGHT(F69,1))</f>
        <v>2</v>
      </c>
    </row>
    <row r="70" ht="34" customHeight="1" spans="1:15" x14ac:dyDescent="0.25">
      <c r="A70" s="3" t="s">
        <v>188</v>
      </c>
      <c r="B70" s="4" t="s">
        <v>150</v>
      </c>
      <c r="C70" s="4" t="s">
        <v>189</v>
      </c>
      <c r="D70" s="3" t="s">
        <v>18</v>
      </c>
      <c r="E70" s="4" t="s">
        <v>190</v>
      </c>
      <c r="F70" s="3" t="s">
        <v>7</v>
      </c>
      <c r="G70" s="3" t="s">
        <v>23</v>
      </c>
      <c r="H70" s="3" t="s">
        <v>20</v>
      </c>
      <c r="I70" s="3" t="s">
        <v>20</v>
      </c>
      <c r="J70" s="4" t="s">
        <v>21</v>
      </c>
      <c r="K70" s="5" t="s">
        <v>22</v>
      </c>
      <c r="L70" s="6" t="s">
        <v>23</v>
      </c>
      <c r="M70" s="6" t="s">
        <v>23</v>
      </c>
      <c r="N70" s="6" t="s">
        <v>23</v>
      </c>
      <c r="O70" s="3">
        <f>VALUE(RIGHT(F70,1))</f>
        <v>2</v>
      </c>
    </row>
    <row r="71" ht="34" customHeight="1" spans="1:15" x14ac:dyDescent="0.25">
      <c r="A71" s="3" t="s">
        <v>191</v>
      </c>
      <c r="B71" s="4" t="s">
        <v>150</v>
      </c>
      <c r="C71" s="4" t="s">
        <v>189</v>
      </c>
      <c r="D71" s="3" t="s">
        <v>76</v>
      </c>
      <c r="E71" s="4" t="s">
        <v>192</v>
      </c>
      <c r="F71" s="3" t="s">
        <v>8</v>
      </c>
      <c r="G71" s="3" t="s">
        <v>23</v>
      </c>
      <c r="H71" s="3" t="s">
        <v>23</v>
      </c>
      <c r="I71" s="3" t="s">
        <v>20</v>
      </c>
      <c r="J71" s="4" t="s">
        <v>21</v>
      </c>
      <c r="K71" s="5" t="s">
        <v>22</v>
      </c>
      <c r="L71" s="6" t="s">
        <v>23</v>
      </c>
      <c r="M71" s="6" t="s">
        <v>23</v>
      </c>
      <c r="N71" s="6" t="s">
        <v>23</v>
      </c>
      <c r="O71" s="3">
        <f>VALUE(RIGHT(F71,1))</f>
        <v>3</v>
      </c>
    </row>
    <row r="72" ht="34" customHeight="1" spans="1:15" x14ac:dyDescent="0.25">
      <c r="A72" s="3" t="s">
        <v>193</v>
      </c>
      <c r="B72" s="4" t="s">
        <v>150</v>
      </c>
      <c r="C72" s="4" t="s">
        <v>194</v>
      </c>
      <c r="D72" s="3" t="s">
        <v>111</v>
      </c>
      <c r="E72" s="4" t="s">
        <v>195</v>
      </c>
      <c r="F72" s="3" t="s">
        <v>7</v>
      </c>
      <c r="G72" s="3" t="s">
        <v>23</v>
      </c>
      <c r="H72" s="3" t="s">
        <v>20</v>
      </c>
      <c r="I72" s="3" t="s">
        <v>20</v>
      </c>
      <c r="J72" s="4" t="s">
        <v>21</v>
      </c>
      <c r="K72" s="5" t="s">
        <v>22</v>
      </c>
      <c r="L72" s="6" t="s">
        <v>23</v>
      </c>
      <c r="M72" s="6" t="s">
        <v>23</v>
      </c>
      <c r="N72" s="6" t="s">
        <v>23</v>
      </c>
      <c r="O72" s="3">
        <f>VALUE(RIGHT(F72,1))</f>
        <v>2</v>
      </c>
    </row>
    <row r="73" ht="48" customHeight="1" spans="1:15" x14ac:dyDescent="0.25">
      <c r="A73" s="3" t="s">
        <v>196</v>
      </c>
      <c r="B73" s="4" t="s">
        <v>150</v>
      </c>
      <c r="C73" s="4" t="s">
        <v>194</v>
      </c>
      <c r="D73" s="3" t="s">
        <v>76</v>
      </c>
      <c r="E73" s="4" t="s">
        <v>197</v>
      </c>
      <c r="F73" s="3" t="s">
        <v>7</v>
      </c>
      <c r="G73" s="3" t="s">
        <v>23</v>
      </c>
      <c r="H73" s="3" t="s">
        <v>20</v>
      </c>
      <c r="I73" s="3" t="s">
        <v>20</v>
      </c>
      <c r="J73" s="4" t="s">
        <v>21</v>
      </c>
      <c r="K73" s="5" t="s">
        <v>22</v>
      </c>
      <c r="L73" s="6" t="s">
        <v>23</v>
      </c>
      <c r="M73" s="6" t="s">
        <v>23</v>
      </c>
      <c r="N73" s="6" t="s">
        <v>23</v>
      </c>
      <c r="O73" s="3">
        <f>VALUE(RIGHT(F73,1))</f>
        <v>2</v>
      </c>
    </row>
    <row r="74" ht="34" customHeight="1" spans="1:15" x14ac:dyDescent="0.25">
      <c r="A74" s="3" t="s">
        <v>198</v>
      </c>
      <c r="B74" s="4" t="s">
        <v>150</v>
      </c>
      <c r="C74" s="4" t="s">
        <v>199</v>
      </c>
      <c r="D74" s="3" t="s">
        <v>62</v>
      </c>
      <c r="E74" s="4" t="s">
        <v>200</v>
      </c>
      <c r="F74" s="3" t="s">
        <v>6</v>
      </c>
      <c r="G74" s="3" t="s">
        <v>20</v>
      </c>
      <c r="H74" s="3" t="s">
        <v>20</v>
      </c>
      <c r="I74" s="3" t="s">
        <v>20</v>
      </c>
      <c r="J74" s="4" t="s">
        <v>21</v>
      </c>
      <c r="K74" s="5" t="s">
        <v>22</v>
      </c>
      <c r="L74" s="6" t="s">
        <v>23</v>
      </c>
      <c r="M74" s="6" t="s">
        <v>23</v>
      </c>
      <c r="N74" s="6" t="s">
        <v>23</v>
      </c>
      <c r="O74" s="3">
        <f>VALUE(RIGHT(F74,1))</f>
        <v>1</v>
      </c>
    </row>
    <row r="75" ht="34" customHeight="1" spans="1:15" x14ac:dyDescent="0.25">
      <c r="A75" s="3" t="s">
        <v>201</v>
      </c>
      <c r="B75" s="4" t="s">
        <v>150</v>
      </c>
      <c r="C75" s="4" t="s">
        <v>199</v>
      </c>
      <c r="D75" s="3" t="s">
        <v>111</v>
      </c>
      <c r="E75" s="4" t="s">
        <v>202</v>
      </c>
      <c r="F75" s="3" t="s">
        <v>7</v>
      </c>
      <c r="G75" s="3" t="s">
        <v>23</v>
      </c>
      <c r="H75" s="3" t="s">
        <v>20</v>
      </c>
      <c r="I75" s="3" t="s">
        <v>20</v>
      </c>
      <c r="J75" s="4" t="s">
        <v>21</v>
      </c>
      <c r="K75" s="5" t="s">
        <v>22</v>
      </c>
      <c r="L75" s="6" t="s">
        <v>23</v>
      </c>
      <c r="M75" s="6" t="s">
        <v>23</v>
      </c>
      <c r="N75" s="6" t="s">
        <v>23</v>
      </c>
      <c r="O75" s="3">
        <f>VALUE(RIGHT(F75,1))</f>
        <v>2</v>
      </c>
    </row>
    <row r="76" ht="34" customHeight="1" spans="1:15" x14ac:dyDescent="0.25">
      <c r="A76" s="3" t="s">
        <v>203</v>
      </c>
      <c r="B76" s="4" t="s">
        <v>150</v>
      </c>
      <c r="C76" s="4" t="s">
        <v>204</v>
      </c>
      <c r="D76" s="3" t="s">
        <v>65</v>
      </c>
      <c r="E76" s="4" t="s">
        <v>205</v>
      </c>
      <c r="F76" s="3" t="s">
        <v>7</v>
      </c>
      <c r="G76" s="3" t="s">
        <v>23</v>
      </c>
      <c r="H76" s="3" t="s">
        <v>20</v>
      </c>
      <c r="I76" s="3" t="s">
        <v>20</v>
      </c>
      <c r="J76" s="4" t="s">
        <v>21</v>
      </c>
      <c r="K76" s="5" t="s">
        <v>22</v>
      </c>
      <c r="L76" s="6" t="s">
        <v>23</v>
      </c>
      <c r="M76" s="6" t="s">
        <v>23</v>
      </c>
      <c r="N76" s="6" t="s">
        <v>23</v>
      </c>
      <c r="O76" s="3">
        <f>VALUE(RIGHT(F76,1))</f>
        <v>2</v>
      </c>
    </row>
    <row r="77" ht="34" customHeight="1" spans="1:15" x14ac:dyDescent="0.25">
      <c r="A77" s="3" t="s">
        <v>206</v>
      </c>
      <c r="B77" s="4" t="s">
        <v>150</v>
      </c>
      <c r="C77" s="4" t="s">
        <v>204</v>
      </c>
      <c r="D77" s="3" t="s">
        <v>65</v>
      </c>
      <c r="E77" s="4" t="s">
        <v>207</v>
      </c>
      <c r="F77" s="3" t="s">
        <v>7</v>
      </c>
      <c r="G77" s="3" t="s">
        <v>23</v>
      </c>
      <c r="H77" s="3" t="s">
        <v>20</v>
      </c>
      <c r="I77" s="3" t="s">
        <v>20</v>
      </c>
      <c r="J77" s="4" t="s">
        <v>21</v>
      </c>
      <c r="K77" s="5" t="s">
        <v>22</v>
      </c>
      <c r="L77" s="6" t="s">
        <v>23</v>
      </c>
      <c r="M77" s="6" t="s">
        <v>23</v>
      </c>
      <c r="N77" s="6" t="s">
        <v>23</v>
      </c>
      <c r="O77" s="3">
        <f>VALUE(RIGHT(F77,1))</f>
        <v>2</v>
      </c>
    </row>
    <row r="78" ht="34" customHeight="1" spans="1:15" x14ac:dyDescent="0.25">
      <c r="A78" s="3" t="s">
        <v>208</v>
      </c>
      <c r="B78" s="4" t="s">
        <v>150</v>
      </c>
      <c r="C78" s="4" t="s">
        <v>204</v>
      </c>
      <c r="D78" s="3" t="s">
        <v>62</v>
      </c>
      <c r="E78" s="4" t="s">
        <v>209</v>
      </c>
      <c r="F78" s="3" t="s">
        <v>7</v>
      </c>
      <c r="G78" s="3" t="s">
        <v>23</v>
      </c>
      <c r="H78" s="3" t="s">
        <v>20</v>
      </c>
      <c r="I78" s="3" t="s">
        <v>20</v>
      </c>
      <c r="J78" s="4" t="s">
        <v>21</v>
      </c>
      <c r="K78" s="5" t="s">
        <v>22</v>
      </c>
      <c r="L78" s="6" t="s">
        <v>23</v>
      </c>
      <c r="M78" s="6" t="s">
        <v>23</v>
      </c>
      <c r="N78" s="6" t="s">
        <v>23</v>
      </c>
      <c r="O78" s="3">
        <f>VALUE(RIGHT(F78,1))</f>
        <v>2</v>
      </c>
    </row>
    <row r="79" ht="48" customHeight="1" spans="1:15" x14ac:dyDescent="0.25">
      <c r="A79" s="3" t="s">
        <v>210</v>
      </c>
      <c r="B79" s="4" t="s">
        <v>150</v>
      </c>
      <c r="C79" s="4" t="s">
        <v>204</v>
      </c>
      <c r="D79" s="3" t="s">
        <v>62</v>
      </c>
      <c r="E79" s="4" t="s">
        <v>211</v>
      </c>
      <c r="F79" s="3" t="s">
        <v>7</v>
      </c>
      <c r="G79" s="3" t="s">
        <v>23</v>
      </c>
      <c r="H79" s="3" t="s">
        <v>20</v>
      </c>
      <c r="I79" s="3" t="s">
        <v>20</v>
      </c>
      <c r="J79" s="4" t="s">
        <v>21</v>
      </c>
      <c r="K79" s="5" t="s">
        <v>22</v>
      </c>
      <c r="L79" s="6" t="s">
        <v>23</v>
      </c>
      <c r="M79" s="6" t="s">
        <v>23</v>
      </c>
      <c r="N79" s="6" t="s">
        <v>23</v>
      </c>
      <c r="O79" s="3">
        <f>VALUE(RIGHT(F79,1))</f>
        <v>2</v>
      </c>
    </row>
    <row r="80" ht="34" customHeight="1" spans="1:15" x14ac:dyDescent="0.25">
      <c r="A80" s="3" t="s">
        <v>212</v>
      </c>
      <c r="B80" s="4" t="s">
        <v>213</v>
      </c>
      <c r="C80" s="4" t="s">
        <v>214</v>
      </c>
      <c r="D80" s="3" t="s">
        <v>65</v>
      </c>
      <c r="E80" s="4" t="s">
        <v>215</v>
      </c>
      <c r="F80" s="3" t="s">
        <v>6</v>
      </c>
      <c r="G80" s="3" t="s">
        <v>20</v>
      </c>
      <c r="H80" s="3" t="s">
        <v>20</v>
      </c>
      <c r="I80" s="3" t="s">
        <v>20</v>
      </c>
      <c r="J80" s="4" t="s">
        <v>21</v>
      </c>
      <c r="K80" s="5" t="s">
        <v>22</v>
      </c>
      <c r="L80" s="6" t="s">
        <v>23</v>
      </c>
      <c r="M80" s="6" t="s">
        <v>23</v>
      </c>
      <c r="N80" s="6" t="s">
        <v>23</v>
      </c>
      <c r="O80" s="3">
        <f>VALUE(RIGHT(F80,1))</f>
        <v>1</v>
      </c>
    </row>
    <row r="81" ht="34" customHeight="1" spans="1:15" x14ac:dyDescent="0.25">
      <c r="A81" s="3" t="s">
        <v>216</v>
      </c>
      <c r="B81" s="4" t="s">
        <v>213</v>
      </c>
      <c r="C81" s="4" t="s">
        <v>214</v>
      </c>
      <c r="D81" s="3" t="s">
        <v>65</v>
      </c>
      <c r="E81" s="4" t="s">
        <v>217</v>
      </c>
      <c r="F81" s="3" t="s">
        <v>6</v>
      </c>
      <c r="G81" s="3" t="s">
        <v>20</v>
      </c>
      <c r="H81" s="3" t="s">
        <v>20</v>
      </c>
      <c r="I81" s="3" t="s">
        <v>20</v>
      </c>
      <c r="J81" s="4" t="s">
        <v>21</v>
      </c>
      <c r="K81" s="5" t="s">
        <v>22</v>
      </c>
      <c r="L81" s="6" t="s">
        <v>23</v>
      </c>
      <c r="M81" s="6" t="s">
        <v>23</v>
      </c>
      <c r="N81" s="6" t="s">
        <v>23</v>
      </c>
      <c r="O81" s="3">
        <f>VALUE(RIGHT(F81,1))</f>
        <v>1</v>
      </c>
    </row>
    <row r="82" ht="34" customHeight="1" spans="1:15" x14ac:dyDescent="0.25">
      <c r="A82" s="3" t="s">
        <v>218</v>
      </c>
      <c r="B82" s="4" t="s">
        <v>213</v>
      </c>
      <c r="C82" s="4" t="s">
        <v>214</v>
      </c>
      <c r="D82" s="3" t="s">
        <v>65</v>
      </c>
      <c r="E82" s="4" t="s">
        <v>219</v>
      </c>
      <c r="F82" s="3" t="s">
        <v>7</v>
      </c>
      <c r="G82" s="3" t="s">
        <v>23</v>
      </c>
      <c r="H82" s="3" t="s">
        <v>20</v>
      </c>
      <c r="I82" s="3" t="s">
        <v>20</v>
      </c>
      <c r="J82" s="4" t="s">
        <v>21</v>
      </c>
      <c r="K82" s="5" t="s">
        <v>22</v>
      </c>
      <c r="L82" s="6" t="s">
        <v>23</v>
      </c>
      <c r="M82" s="6" t="s">
        <v>23</v>
      </c>
      <c r="N82" s="6" t="s">
        <v>23</v>
      </c>
      <c r="O82" s="3">
        <f>VALUE(RIGHT(F82,1))</f>
        <v>2</v>
      </c>
    </row>
    <row r="83" ht="34" customHeight="1" spans="1:15" x14ac:dyDescent="0.25">
      <c r="A83" s="3" t="s">
        <v>220</v>
      </c>
      <c r="B83" s="4" t="s">
        <v>213</v>
      </c>
      <c r="C83" s="4" t="s">
        <v>214</v>
      </c>
      <c r="D83" s="3" t="s">
        <v>65</v>
      </c>
      <c r="E83" s="4" t="s">
        <v>221</v>
      </c>
      <c r="F83" s="3" t="s">
        <v>7</v>
      </c>
      <c r="G83" s="3" t="s">
        <v>23</v>
      </c>
      <c r="H83" s="3" t="s">
        <v>20</v>
      </c>
      <c r="I83" s="3" t="s">
        <v>20</v>
      </c>
      <c r="J83" s="4" t="s">
        <v>21</v>
      </c>
      <c r="K83" s="5" t="s">
        <v>22</v>
      </c>
      <c r="L83" s="6" t="s">
        <v>23</v>
      </c>
      <c r="M83" s="6" t="s">
        <v>23</v>
      </c>
      <c r="N83" s="6" t="s">
        <v>23</v>
      </c>
      <c r="O83" s="3">
        <f>VALUE(RIGHT(F83,1))</f>
        <v>2</v>
      </c>
    </row>
    <row r="84" ht="34" customHeight="1" spans="1:15" x14ac:dyDescent="0.25">
      <c r="A84" s="3" t="s">
        <v>222</v>
      </c>
      <c r="B84" s="4" t="s">
        <v>213</v>
      </c>
      <c r="C84" s="4" t="s">
        <v>214</v>
      </c>
      <c r="D84" s="3" t="s">
        <v>65</v>
      </c>
      <c r="E84" s="4" t="s">
        <v>223</v>
      </c>
      <c r="F84" s="3" t="s">
        <v>7</v>
      </c>
      <c r="G84" s="3" t="s">
        <v>23</v>
      </c>
      <c r="H84" s="3" t="s">
        <v>20</v>
      </c>
      <c r="I84" s="3" t="s">
        <v>20</v>
      </c>
      <c r="J84" s="4" t="s">
        <v>21</v>
      </c>
      <c r="K84" s="5" t="s">
        <v>22</v>
      </c>
      <c r="L84" s="6" t="s">
        <v>23</v>
      </c>
      <c r="M84" s="6" t="s">
        <v>23</v>
      </c>
      <c r="N84" s="6" t="s">
        <v>23</v>
      </c>
      <c r="O84" s="3">
        <f>VALUE(RIGHT(F84,1))</f>
        <v>2</v>
      </c>
    </row>
    <row r="85" ht="34" customHeight="1" spans="1:15" x14ac:dyDescent="0.25">
      <c r="A85" s="3" t="s">
        <v>224</v>
      </c>
      <c r="B85" s="4" t="s">
        <v>213</v>
      </c>
      <c r="C85" s="4" t="s">
        <v>214</v>
      </c>
      <c r="D85" s="3" t="s">
        <v>65</v>
      </c>
      <c r="E85" s="4" t="s">
        <v>225</v>
      </c>
      <c r="F85" s="3" t="s">
        <v>7</v>
      </c>
      <c r="G85" s="3" t="s">
        <v>23</v>
      </c>
      <c r="H85" s="3" t="s">
        <v>20</v>
      </c>
      <c r="I85" s="3" t="s">
        <v>20</v>
      </c>
      <c r="J85" s="4" t="s">
        <v>21</v>
      </c>
      <c r="K85" s="5" t="s">
        <v>22</v>
      </c>
      <c r="L85" s="6" t="s">
        <v>23</v>
      </c>
      <c r="M85" s="6" t="s">
        <v>23</v>
      </c>
      <c r="N85" s="6" t="s">
        <v>23</v>
      </c>
      <c r="O85" s="3">
        <f>VALUE(RIGHT(F85,1))</f>
        <v>2</v>
      </c>
    </row>
    <row r="86" ht="34" customHeight="1" spans="1:15" x14ac:dyDescent="0.25">
      <c r="A86" s="3" t="s">
        <v>226</v>
      </c>
      <c r="B86" s="4" t="s">
        <v>213</v>
      </c>
      <c r="C86" s="4" t="s">
        <v>214</v>
      </c>
      <c r="D86" s="3" t="s">
        <v>62</v>
      </c>
      <c r="E86" s="4" t="s">
        <v>227</v>
      </c>
      <c r="F86" s="3" t="s">
        <v>7</v>
      </c>
      <c r="G86" s="3" t="s">
        <v>23</v>
      </c>
      <c r="H86" s="3" t="s">
        <v>20</v>
      </c>
      <c r="I86" s="3" t="s">
        <v>20</v>
      </c>
      <c r="J86" s="4" t="s">
        <v>21</v>
      </c>
      <c r="K86" s="5" t="s">
        <v>22</v>
      </c>
      <c r="L86" s="6" t="s">
        <v>23</v>
      </c>
      <c r="M86" s="6" t="s">
        <v>23</v>
      </c>
      <c r="N86" s="6" t="s">
        <v>23</v>
      </c>
      <c r="O86" s="3">
        <f>VALUE(RIGHT(F86,1))</f>
        <v>2</v>
      </c>
    </row>
    <row r="87" ht="34" customHeight="1" spans="1:15" x14ac:dyDescent="0.25">
      <c r="A87" s="3" t="s">
        <v>228</v>
      </c>
      <c r="B87" s="4" t="s">
        <v>213</v>
      </c>
      <c r="C87" s="4" t="s">
        <v>229</v>
      </c>
      <c r="D87" s="3" t="s">
        <v>65</v>
      </c>
      <c r="E87" s="4" t="s">
        <v>230</v>
      </c>
      <c r="F87" s="3" t="s">
        <v>6</v>
      </c>
      <c r="G87" s="3" t="s">
        <v>20</v>
      </c>
      <c r="H87" s="3" t="s">
        <v>20</v>
      </c>
      <c r="I87" s="3" t="s">
        <v>20</v>
      </c>
      <c r="J87" s="4" t="s">
        <v>21</v>
      </c>
      <c r="K87" s="5" t="s">
        <v>22</v>
      </c>
      <c r="L87" s="6" t="s">
        <v>23</v>
      </c>
      <c r="M87" s="6" t="s">
        <v>23</v>
      </c>
      <c r="N87" s="6" t="s">
        <v>23</v>
      </c>
      <c r="O87" s="3">
        <f>VALUE(RIGHT(F87,1))</f>
        <v>1</v>
      </c>
    </row>
    <row r="88" ht="34" customHeight="1" spans="1:15" x14ac:dyDescent="0.25">
      <c r="A88" s="3" t="s">
        <v>231</v>
      </c>
      <c r="B88" s="4" t="s">
        <v>213</v>
      </c>
      <c r="C88" s="4" t="s">
        <v>229</v>
      </c>
      <c r="D88" s="3" t="s">
        <v>232</v>
      </c>
      <c r="E88" s="4" t="s">
        <v>233</v>
      </c>
      <c r="F88" s="3" t="s">
        <v>6</v>
      </c>
      <c r="G88" s="3" t="s">
        <v>20</v>
      </c>
      <c r="H88" s="3" t="s">
        <v>20</v>
      </c>
      <c r="I88" s="3" t="s">
        <v>20</v>
      </c>
      <c r="J88" s="4" t="s">
        <v>21</v>
      </c>
      <c r="K88" s="5" t="s">
        <v>22</v>
      </c>
      <c r="L88" s="6" t="s">
        <v>23</v>
      </c>
      <c r="M88" s="6" t="s">
        <v>23</v>
      </c>
      <c r="N88" s="6" t="s">
        <v>23</v>
      </c>
      <c r="O88" s="3">
        <f>VALUE(RIGHT(F88,1))</f>
        <v>1</v>
      </c>
    </row>
    <row r="89" ht="34" customHeight="1" spans="1:15" x14ac:dyDescent="0.25">
      <c r="A89" s="3" t="s">
        <v>234</v>
      </c>
      <c r="B89" s="4" t="s">
        <v>213</v>
      </c>
      <c r="C89" s="4" t="s">
        <v>229</v>
      </c>
      <c r="D89" s="3" t="s">
        <v>51</v>
      </c>
      <c r="E89" s="4" t="s">
        <v>235</v>
      </c>
      <c r="F89" s="3" t="s">
        <v>6</v>
      </c>
      <c r="G89" s="3" t="s">
        <v>20</v>
      </c>
      <c r="H89" s="3" t="s">
        <v>20</v>
      </c>
      <c r="I89" s="3" t="s">
        <v>20</v>
      </c>
      <c r="J89" s="4" t="s">
        <v>21</v>
      </c>
      <c r="K89" s="5" t="s">
        <v>22</v>
      </c>
      <c r="L89" s="6" t="s">
        <v>23</v>
      </c>
      <c r="M89" s="6" t="s">
        <v>23</v>
      </c>
      <c r="N89" s="6" t="s">
        <v>23</v>
      </c>
      <c r="O89" s="3">
        <f>VALUE(RIGHT(F89,1))</f>
        <v>1</v>
      </c>
    </row>
    <row r="90" ht="34" customHeight="1" spans="1:15" x14ac:dyDescent="0.25">
      <c r="A90" s="3" t="s">
        <v>236</v>
      </c>
      <c r="B90" s="4" t="s">
        <v>213</v>
      </c>
      <c r="C90" s="4" t="s">
        <v>229</v>
      </c>
      <c r="D90" s="3" t="s">
        <v>232</v>
      </c>
      <c r="E90" s="4" t="s">
        <v>237</v>
      </c>
      <c r="F90" s="3" t="s">
        <v>7</v>
      </c>
      <c r="G90" s="3" t="s">
        <v>23</v>
      </c>
      <c r="H90" s="3" t="s">
        <v>20</v>
      </c>
      <c r="I90" s="3" t="s">
        <v>20</v>
      </c>
      <c r="J90" s="4" t="s">
        <v>21</v>
      </c>
      <c r="K90" s="5" t="s">
        <v>22</v>
      </c>
      <c r="L90" s="6" t="s">
        <v>23</v>
      </c>
      <c r="M90" s="6" t="s">
        <v>23</v>
      </c>
      <c r="N90" s="6" t="s">
        <v>23</v>
      </c>
      <c r="O90" s="3">
        <f>VALUE(RIGHT(F90,1))</f>
        <v>2</v>
      </c>
    </row>
    <row r="91" ht="34" customHeight="1" spans="1:15" x14ac:dyDescent="0.25">
      <c r="A91" s="3" t="s">
        <v>238</v>
      </c>
      <c r="B91" s="4" t="s">
        <v>213</v>
      </c>
      <c r="C91" s="4" t="s">
        <v>229</v>
      </c>
      <c r="D91" s="3" t="s">
        <v>111</v>
      </c>
      <c r="E91" s="4" t="s">
        <v>239</v>
      </c>
      <c r="F91" s="3" t="s">
        <v>6</v>
      </c>
      <c r="G91" s="3" t="s">
        <v>20</v>
      </c>
      <c r="H91" s="3" t="s">
        <v>20</v>
      </c>
      <c r="I91" s="3" t="s">
        <v>20</v>
      </c>
      <c r="J91" s="4" t="s">
        <v>21</v>
      </c>
      <c r="K91" s="5" t="s">
        <v>22</v>
      </c>
      <c r="L91" s="6" t="s">
        <v>23</v>
      </c>
      <c r="M91" s="6" t="s">
        <v>23</v>
      </c>
      <c r="N91" s="6" t="s">
        <v>23</v>
      </c>
      <c r="O91" s="3">
        <f>VALUE(RIGHT(F91,1))</f>
        <v>1</v>
      </c>
    </row>
    <row r="92" ht="48" customHeight="1" spans="1:15" x14ac:dyDescent="0.25">
      <c r="A92" s="3" t="s">
        <v>240</v>
      </c>
      <c r="B92" s="4" t="s">
        <v>213</v>
      </c>
      <c r="C92" s="4" t="s">
        <v>241</v>
      </c>
      <c r="D92" s="3" t="s">
        <v>65</v>
      </c>
      <c r="E92" s="4" t="s">
        <v>242</v>
      </c>
      <c r="F92" s="3" t="s">
        <v>6</v>
      </c>
      <c r="G92" s="3" t="s">
        <v>20</v>
      </c>
      <c r="H92" s="3" t="s">
        <v>20</v>
      </c>
      <c r="I92" s="3" t="s">
        <v>20</v>
      </c>
      <c r="J92" s="4" t="s">
        <v>21</v>
      </c>
      <c r="K92" s="5" t="s">
        <v>22</v>
      </c>
      <c r="L92" s="6" t="s">
        <v>23</v>
      </c>
      <c r="M92" s="6" t="s">
        <v>23</v>
      </c>
      <c r="N92" s="6" t="s">
        <v>23</v>
      </c>
      <c r="O92" s="3">
        <f>VALUE(RIGHT(F92,1))</f>
        <v>1</v>
      </c>
    </row>
    <row r="93" ht="34" customHeight="1" spans="1:15" x14ac:dyDescent="0.25">
      <c r="A93" s="3" t="s">
        <v>243</v>
      </c>
      <c r="B93" s="4" t="s">
        <v>213</v>
      </c>
      <c r="C93" s="4" t="s">
        <v>241</v>
      </c>
      <c r="D93" s="3" t="s">
        <v>65</v>
      </c>
      <c r="E93" s="4" t="s">
        <v>244</v>
      </c>
      <c r="F93" s="3" t="s">
        <v>7</v>
      </c>
      <c r="G93" s="3" t="s">
        <v>23</v>
      </c>
      <c r="H93" s="3" t="s">
        <v>20</v>
      </c>
      <c r="I93" s="3" t="s">
        <v>20</v>
      </c>
      <c r="J93" s="4" t="s">
        <v>21</v>
      </c>
      <c r="K93" s="5" t="s">
        <v>22</v>
      </c>
      <c r="L93" s="6" t="s">
        <v>23</v>
      </c>
      <c r="M93" s="6" t="s">
        <v>23</v>
      </c>
      <c r="N93" s="6" t="s">
        <v>23</v>
      </c>
      <c r="O93" s="3">
        <f>VALUE(RIGHT(F93,1))</f>
        <v>2</v>
      </c>
    </row>
    <row r="94" ht="34" customHeight="1" spans="1:15" x14ac:dyDescent="0.25">
      <c r="A94" s="3" t="s">
        <v>245</v>
      </c>
      <c r="B94" s="4" t="s">
        <v>213</v>
      </c>
      <c r="C94" s="4" t="s">
        <v>241</v>
      </c>
      <c r="D94" s="3" t="s">
        <v>18</v>
      </c>
      <c r="E94" s="4" t="s">
        <v>246</v>
      </c>
      <c r="F94" s="3" t="s">
        <v>7</v>
      </c>
      <c r="G94" s="3" t="s">
        <v>23</v>
      </c>
      <c r="H94" s="3" t="s">
        <v>20</v>
      </c>
      <c r="I94" s="3" t="s">
        <v>20</v>
      </c>
      <c r="J94" s="4" t="s">
        <v>21</v>
      </c>
      <c r="K94" s="5" t="s">
        <v>22</v>
      </c>
      <c r="L94" s="6" t="s">
        <v>23</v>
      </c>
      <c r="M94" s="6" t="s">
        <v>23</v>
      </c>
      <c r="N94" s="6" t="s">
        <v>23</v>
      </c>
      <c r="O94" s="3">
        <f>VALUE(RIGHT(F94,1))</f>
        <v>2</v>
      </c>
    </row>
    <row r="95" ht="34" customHeight="1" spans="1:15" x14ac:dyDescent="0.25">
      <c r="A95" s="3" t="s">
        <v>247</v>
      </c>
      <c r="B95" s="4" t="s">
        <v>213</v>
      </c>
      <c r="C95" s="4" t="s">
        <v>248</v>
      </c>
      <c r="D95" s="3" t="s">
        <v>65</v>
      </c>
      <c r="E95" s="4" t="s">
        <v>249</v>
      </c>
      <c r="F95" s="3" t="s">
        <v>6</v>
      </c>
      <c r="G95" s="3" t="s">
        <v>20</v>
      </c>
      <c r="H95" s="3" t="s">
        <v>20</v>
      </c>
      <c r="I95" s="3" t="s">
        <v>20</v>
      </c>
      <c r="J95" s="4" t="s">
        <v>250</v>
      </c>
      <c r="K95" s="5" t="s">
        <v>22</v>
      </c>
      <c r="L95" s="6" t="s">
        <v>23</v>
      </c>
      <c r="M95" s="6" t="s">
        <v>23</v>
      </c>
      <c r="N95" s="6" t="s">
        <v>23</v>
      </c>
      <c r="O95" s="3">
        <f>VALUE(RIGHT(F95,1))</f>
        <v>1</v>
      </c>
    </row>
    <row r="96" ht="34" customHeight="1" spans="1:15" x14ac:dyDescent="0.25">
      <c r="A96" s="3" t="s">
        <v>251</v>
      </c>
      <c r="B96" s="4" t="s">
        <v>213</v>
      </c>
      <c r="C96" s="4" t="s">
        <v>248</v>
      </c>
      <c r="D96" s="3" t="s">
        <v>65</v>
      </c>
      <c r="E96" s="4" t="s">
        <v>252</v>
      </c>
      <c r="F96" s="3" t="s">
        <v>6</v>
      </c>
      <c r="G96" s="3" t="s">
        <v>20</v>
      </c>
      <c r="H96" s="3" t="s">
        <v>20</v>
      </c>
      <c r="I96" s="3" t="s">
        <v>20</v>
      </c>
      <c r="J96" s="4" t="s">
        <v>250</v>
      </c>
      <c r="K96" s="5" t="s">
        <v>22</v>
      </c>
      <c r="L96" s="6" t="s">
        <v>23</v>
      </c>
      <c r="M96" s="6" t="s">
        <v>23</v>
      </c>
      <c r="N96" s="6" t="s">
        <v>23</v>
      </c>
      <c r="O96" s="3">
        <f>VALUE(RIGHT(F96,1))</f>
        <v>1</v>
      </c>
    </row>
    <row r="97" ht="34" customHeight="1" spans="1:15" x14ac:dyDescent="0.25">
      <c r="A97" s="3" t="s">
        <v>253</v>
      </c>
      <c r="B97" s="4" t="s">
        <v>213</v>
      </c>
      <c r="C97" s="4" t="s">
        <v>248</v>
      </c>
      <c r="D97" s="3" t="s">
        <v>65</v>
      </c>
      <c r="E97" s="4" t="s">
        <v>254</v>
      </c>
      <c r="F97" s="3" t="s">
        <v>7</v>
      </c>
      <c r="G97" s="3" t="s">
        <v>23</v>
      </c>
      <c r="H97" s="3" t="s">
        <v>20</v>
      </c>
      <c r="I97" s="3" t="s">
        <v>20</v>
      </c>
      <c r="J97" s="4" t="s">
        <v>250</v>
      </c>
      <c r="K97" s="5" t="s">
        <v>22</v>
      </c>
      <c r="L97" s="6" t="s">
        <v>23</v>
      </c>
      <c r="M97" s="6" t="s">
        <v>23</v>
      </c>
      <c r="N97" s="6" t="s">
        <v>23</v>
      </c>
      <c r="O97" s="3">
        <f>VALUE(RIGHT(F97,1))</f>
        <v>2</v>
      </c>
    </row>
    <row r="98" ht="34" customHeight="1" spans="1:15" x14ac:dyDescent="0.25">
      <c r="A98" s="3" t="s">
        <v>255</v>
      </c>
      <c r="B98" s="4" t="s">
        <v>213</v>
      </c>
      <c r="C98" s="4" t="s">
        <v>248</v>
      </c>
      <c r="D98" s="3" t="s">
        <v>111</v>
      </c>
      <c r="E98" s="4" t="s">
        <v>256</v>
      </c>
      <c r="F98" s="3" t="s">
        <v>7</v>
      </c>
      <c r="G98" s="3" t="s">
        <v>23</v>
      </c>
      <c r="H98" s="3" t="s">
        <v>20</v>
      </c>
      <c r="I98" s="3" t="s">
        <v>20</v>
      </c>
      <c r="J98" s="4" t="s">
        <v>250</v>
      </c>
      <c r="K98" s="5" t="s">
        <v>22</v>
      </c>
      <c r="L98" s="6" t="s">
        <v>23</v>
      </c>
      <c r="M98" s="6" t="s">
        <v>23</v>
      </c>
      <c r="N98" s="6" t="s">
        <v>23</v>
      </c>
      <c r="O98" s="3">
        <f>VALUE(RIGHT(F98,1))</f>
        <v>2</v>
      </c>
    </row>
    <row r="99" ht="34" customHeight="1" spans="1:15" x14ac:dyDescent="0.25">
      <c r="A99" s="3" t="s">
        <v>257</v>
      </c>
      <c r="B99" s="4" t="s">
        <v>213</v>
      </c>
      <c r="C99" s="4" t="s">
        <v>258</v>
      </c>
      <c r="D99" s="3" t="s">
        <v>65</v>
      </c>
      <c r="E99" s="4" t="s">
        <v>259</v>
      </c>
      <c r="F99" s="3" t="s">
        <v>7</v>
      </c>
      <c r="G99" s="3" t="s">
        <v>23</v>
      </c>
      <c r="H99" s="3" t="s">
        <v>20</v>
      </c>
      <c r="I99" s="3" t="s">
        <v>20</v>
      </c>
      <c r="J99" s="4" t="s">
        <v>260</v>
      </c>
      <c r="K99" s="5" t="s">
        <v>22</v>
      </c>
      <c r="L99" s="6" t="s">
        <v>23</v>
      </c>
      <c r="M99" s="6" t="s">
        <v>23</v>
      </c>
      <c r="N99" s="6" t="s">
        <v>23</v>
      </c>
      <c r="O99" s="3">
        <f>VALUE(RIGHT(F99,1))</f>
        <v>2</v>
      </c>
    </row>
    <row r="100" ht="34" customHeight="1" spans="1:15" x14ac:dyDescent="0.25">
      <c r="A100" s="3" t="s">
        <v>261</v>
      </c>
      <c r="B100" s="4" t="s">
        <v>213</v>
      </c>
      <c r="C100" s="4" t="s">
        <v>258</v>
      </c>
      <c r="D100" s="3" t="s">
        <v>51</v>
      </c>
      <c r="E100" s="4" t="s">
        <v>262</v>
      </c>
      <c r="F100" s="3" t="s">
        <v>7</v>
      </c>
      <c r="G100" s="3" t="s">
        <v>23</v>
      </c>
      <c r="H100" s="3" t="s">
        <v>20</v>
      </c>
      <c r="I100" s="3" t="s">
        <v>20</v>
      </c>
      <c r="J100" s="4" t="s">
        <v>260</v>
      </c>
      <c r="K100" s="5" t="s">
        <v>22</v>
      </c>
      <c r="L100" s="6" t="s">
        <v>23</v>
      </c>
      <c r="M100" s="6" t="s">
        <v>23</v>
      </c>
      <c r="N100" s="6" t="s">
        <v>23</v>
      </c>
      <c r="O100" s="3">
        <f>VALUE(RIGHT(F100,1))</f>
        <v>2</v>
      </c>
    </row>
    <row r="101" ht="34" customHeight="1" spans="1:15" x14ac:dyDescent="0.25">
      <c r="A101" s="3" t="s">
        <v>263</v>
      </c>
      <c r="B101" s="4" t="s">
        <v>213</v>
      </c>
      <c r="C101" s="4" t="s">
        <v>258</v>
      </c>
      <c r="D101" s="3" t="s">
        <v>232</v>
      </c>
      <c r="E101" s="4" t="s">
        <v>264</v>
      </c>
      <c r="F101" s="3" t="s">
        <v>7</v>
      </c>
      <c r="G101" s="3" t="s">
        <v>23</v>
      </c>
      <c r="H101" s="3" t="s">
        <v>20</v>
      </c>
      <c r="I101" s="3" t="s">
        <v>20</v>
      </c>
      <c r="J101" s="4" t="s">
        <v>260</v>
      </c>
      <c r="K101" s="5" t="s">
        <v>22</v>
      </c>
      <c r="L101" s="6" t="s">
        <v>23</v>
      </c>
      <c r="M101" s="6" t="s">
        <v>23</v>
      </c>
      <c r="N101" s="6" t="s">
        <v>23</v>
      </c>
      <c r="O101" s="3">
        <f>VALUE(RIGHT(F101,1))</f>
        <v>2</v>
      </c>
    </row>
    <row r="102" ht="34" customHeight="1" spans="1:15" x14ac:dyDescent="0.25">
      <c r="A102" s="3" t="s">
        <v>265</v>
      </c>
      <c r="B102" s="4" t="s">
        <v>213</v>
      </c>
      <c r="C102" s="4" t="s">
        <v>258</v>
      </c>
      <c r="D102" s="3" t="s">
        <v>18</v>
      </c>
      <c r="E102" s="4" t="s">
        <v>266</v>
      </c>
      <c r="F102" s="3" t="s">
        <v>8</v>
      </c>
      <c r="G102" s="3" t="s">
        <v>23</v>
      </c>
      <c r="H102" s="3" t="s">
        <v>23</v>
      </c>
      <c r="I102" s="3" t="s">
        <v>20</v>
      </c>
      <c r="J102" s="4" t="s">
        <v>260</v>
      </c>
      <c r="K102" s="5" t="s">
        <v>22</v>
      </c>
      <c r="L102" s="6" t="s">
        <v>23</v>
      </c>
      <c r="M102" s="6" t="s">
        <v>23</v>
      </c>
      <c r="N102" s="6" t="s">
        <v>23</v>
      </c>
      <c r="O102" s="3">
        <f>VALUE(RIGHT(F102,1))</f>
        <v>3</v>
      </c>
    </row>
    <row r="103" ht="48" customHeight="1" spans="1:15" x14ac:dyDescent="0.25">
      <c r="A103" s="3" t="s">
        <v>267</v>
      </c>
      <c r="B103" s="4" t="s">
        <v>213</v>
      </c>
      <c r="C103" s="4" t="s">
        <v>258</v>
      </c>
      <c r="D103" s="3" t="s">
        <v>51</v>
      </c>
      <c r="E103" s="4" t="s">
        <v>268</v>
      </c>
      <c r="F103" s="3" t="s">
        <v>6</v>
      </c>
      <c r="G103" s="3" t="s">
        <v>20</v>
      </c>
      <c r="H103" s="3" t="s">
        <v>20</v>
      </c>
      <c r="I103" s="3" t="s">
        <v>20</v>
      </c>
      <c r="J103" s="4" t="s">
        <v>260</v>
      </c>
      <c r="K103" s="5" t="s">
        <v>22</v>
      </c>
      <c r="L103" s="6" t="s">
        <v>23</v>
      </c>
      <c r="M103" s="6" t="s">
        <v>23</v>
      </c>
      <c r="N103" s="6" t="s">
        <v>23</v>
      </c>
      <c r="O103" s="3">
        <f>VALUE(RIGHT(F103,1))</f>
        <v>1</v>
      </c>
    </row>
    <row r="104" ht="34" customHeight="1" spans="1:15" x14ac:dyDescent="0.25">
      <c r="A104" s="3" t="s">
        <v>269</v>
      </c>
      <c r="B104" s="4" t="s">
        <v>213</v>
      </c>
      <c r="C104" s="4" t="s">
        <v>258</v>
      </c>
      <c r="D104" s="3" t="s">
        <v>62</v>
      </c>
      <c r="E104" s="4" t="s">
        <v>270</v>
      </c>
      <c r="F104" s="3" t="s">
        <v>7</v>
      </c>
      <c r="G104" s="3" t="s">
        <v>23</v>
      </c>
      <c r="H104" s="3" t="s">
        <v>20</v>
      </c>
      <c r="I104" s="3" t="s">
        <v>20</v>
      </c>
      <c r="J104" s="4" t="s">
        <v>260</v>
      </c>
      <c r="K104" s="5" t="s">
        <v>22</v>
      </c>
      <c r="L104" s="6" t="s">
        <v>23</v>
      </c>
      <c r="M104" s="6" t="s">
        <v>23</v>
      </c>
      <c r="N104" s="6" t="s">
        <v>23</v>
      </c>
      <c r="O104" s="3">
        <f>VALUE(RIGHT(F104,1))</f>
        <v>2</v>
      </c>
    </row>
    <row r="105" ht="34" customHeight="1" spans="1:15" x14ac:dyDescent="0.25">
      <c r="A105" s="3" t="s">
        <v>271</v>
      </c>
      <c r="B105" s="4" t="s">
        <v>213</v>
      </c>
      <c r="C105" s="4" t="s">
        <v>272</v>
      </c>
      <c r="D105" s="3" t="s">
        <v>18</v>
      </c>
      <c r="E105" s="4" t="s">
        <v>273</v>
      </c>
      <c r="F105" s="3" t="s">
        <v>7</v>
      </c>
      <c r="G105" s="3" t="s">
        <v>23</v>
      </c>
      <c r="H105" s="3" t="s">
        <v>20</v>
      </c>
      <c r="I105" s="3" t="s">
        <v>20</v>
      </c>
      <c r="J105" s="4" t="s">
        <v>21</v>
      </c>
      <c r="K105" s="5" t="s">
        <v>22</v>
      </c>
      <c r="L105" s="6" t="s">
        <v>23</v>
      </c>
      <c r="M105" s="6" t="s">
        <v>23</v>
      </c>
      <c r="N105" s="6" t="s">
        <v>23</v>
      </c>
      <c r="O105" s="3">
        <f>VALUE(RIGHT(F105,1))</f>
        <v>2</v>
      </c>
    </row>
    <row r="106" ht="34" customHeight="1" spans="1:15" x14ac:dyDescent="0.25">
      <c r="A106" s="3" t="s">
        <v>274</v>
      </c>
      <c r="B106" s="4" t="s">
        <v>213</v>
      </c>
      <c r="C106" s="4" t="s">
        <v>272</v>
      </c>
      <c r="D106" s="3" t="s">
        <v>65</v>
      </c>
      <c r="E106" s="4" t="s">
        <v>275</v>
      </c>
      <c r="F106" s="3" t="s">
        <v>7</v>
      </c>
      <c r="G106" s="3" t="s">
        <v>23</v>
      </c>
      <c r="H106" s="3" t="s">
        <v>20</v>
      </c>
      <c r="I106" s="3" t="s">
        <v>20</v>
      </c>
      <c r="J106" s="4" t="s">
        <v>21</v>
      </c>
      <c r="K106" s="5" t="s">
        <v>22</v>
      </c>
      <c r="L106" s="6" t="s">
        <v>23</v>
      </c>
      <c r="M106" s="6" t="s">
        <v>23</v>
      </c>
      <c r="N106" s="6" t="s">
        <v>23</v>
      </c>
      <c r="O106" s="3">
        <f>VALUE(RIGHT(F106,1))</f>
        <v>2</v>
      </c>
    </row>
    <row r="107" ht="34" customHeight="1" spans="1:15" x14ac:dyDescent="0.25">
      <c r="A107" s="3" t="s">
        <v>276</v>
      </c>
      <c r="B107" s="4" t="s">
        <v>213</v>
      </c>
      <c r="C107" s="4" t="s">
        <v>272</v>
      </c>
      <c r="D107" s="3" t="s">
        <v>18</v>
      </c>
      <c r="E107" s="4" t="s">
        <v>277</v>
      </c>
      <c r="F107" s="3" t="s">
        <v>6</v>
      </c>
      <c r="G107" s="3" t="s">
        <v>20</v>
      </c>
      <c r="H107" s="3" t="s">
        <v>20</v>
      </c>
      <c r="I107" s="3" t="s">
        <v>20</v>
      </c>
      <c r="J107" s="4" t="s">
        <v>21</v>
      </c>
      <c r="K107" s="5" t="s">
        <v>22</v>
      </c>
      <c r="L107" s="6" t="s">
        <v>23</v>
      </c>
      <c r="M107" s="6" t="s">
        <v>23</v>
      </c>
      <c r="N107" s="6" t="s">
        <v>23</v>
      </c>
      <c r="O107" s="3">
        <f>VALUE(RIGHT(F107,1))</f>
        <v>1</v>
      </c>
    </row>
    <row r="108" ht="34" customHeight="1" spans="1:15" x14ac:dyDescent="0.25">
      <c r="A108" s="3" t="s">
        <v>278</v>
      </c>
      <c r="B108" s="4" t="s">
        <v>213</v>
      </c>
      <c r="C108" s="4" t="s">
        <v>279</v>
      </c>
      <c r="D108" s="3" t="s">
        <v>65</v>
      </c>
      <c r="E108" s="4" t="s">
        <v>280</v>
      </c>
      <c r="F108" s="3" t="s">
        <v>6</v>
      </c>
      <c r="G108" s="3" t="s">
        <v>20</v>
      </c>
      <c r="H108" s="3" t="s">
        <v>20</v>
      </c>
      <c r="I108" s="3" t="s">
        <v>20</v>
      </c>
      <c r="J108" s="4" t="s">
        <v>21</v>
      </c>
      <c r="K108" s="5" t="s">
        <v>22</v>
      </c>
      <c r="L108" s="6" t="s">
        <v>23</v>
      </c>
      <c r="M108" s="6" t="s">
        <v>23</v>
      </c>
      <c r="N108" s="6" t="s">
        <v>23</v>
      </c>
      <c r="O108" s="3">
        <f>VALUE(RIGHT(F108,1))</f>
        <v>1</v>
      </c>
    </row>
    <row r="109" ht="34" customHeight="1" spans="1:15" x14ac:dyDescent="0.25">
      <c r="A109" s="3" t="s">
        <v>281</v>
      </c>
      <c r="B109" s="4" t="s">
        <v>213</v>
      </c>
      <c r="C109" s="4" t="s">
        <v>279</v>
      </c>
      <c r="D109" s="3" t="s">
        <v>65</v>
      </c>
      <c r="E109" s="4" t="s">
        <v>282</v>
      </c>
      <c r="F109" s="3" t="s">
        <v>6</v>
      </c>
      <c r="G109" s="3" t="s">
        <v>20</v>
      </c>
      <c r="H109" s="3" t="s">
        <v>20</v>
      </c>
      <c r="I109" s="3" t="s">
        <v>20</v>
      </c>
      <c r="J109" s="4" t="s">
        <v>21</v>
      </c>
      <c r="K109" s="5" t="s">
        <v>22</v>
      </c>
      <c r="L109" s="6" t="s">
        <v>23</v>
      </c>
      <c r="M109" s="6" t="s">
        <v>23</v>
      </c>
      <c r="N109" s="6" t="s">
        <v>23</v>
      </c>
      <c r="O109" s="3">
        <f>VALUE(RIGHT(F109,1))</f>
        <v>1</v>
      </c>
    </row>
    <row r="110" ht="34" customHeight="1" spans="1:15" x14ac:dyDescent="0.25">
      <c r="A110" s="3" t="s">
        <v>283</v>
      </c>
      <c r="B110" s="4" t="s">
        <v>213</v>
      </c>
      <c r="C110" s="4" t="s">
        <v>279</v>
      </c>
      <c r="D110" s="3" t="s">
        <v>65</v>
      </c>
      <c r="E110" s="4" t="s">
        <v>284</v>
      </c>
      <c r="F110" s="3" t="s">
        <v>6</v>
      </c>
      <c r="G110" s="3" t="s">
        <v>20</v>
      </c>
      <c r="H110" s="3" t="s">
        <v>20</v>
      </c>
      <c r="I110" s="3" t="s">
        <v>20</v>
      </c>
      <c r="J110" s="4" t="s">
        <v>21</v>
      </c>
      <c r="K110" s="5" t="s">
        <v>22</v>
      </c>
      <c r="L110" s="6" t="s">
        <v>23</v>
      </c>
      <c r="M110" s="6" t="s">
        <v>23</v>
      </c>
      <c r="N110" s="6" t="s">
        <v>23</v>
      </c>
      <c r="O110" s="3">
        <f>VALUE(RIGHT(F110,1))</f>
        <v>1</v>
      </c>
    </row>
    <row r="111" ht="34" customHeight="1" spans="1:15" x14ac:dyDescent="0.25">
      <c r="A111" s="3" t="s">
        <v>285</v>
      </c>
      <c r="B111" s="4" t="s">
        <v>213</v>
      </c>
      <c r="C111" s="4" t="s">
        <v>279</v>
      </c>
      <c r="D111" s="3" t="s">
        <v>65</v>
      </c>
      <c r="E111" s="4" t="s">
        <v>286</v>
      </c>
      <c r="F111" s="3" t="s">
        <v>7</v>
      </c>
      <c r="G111" s="3" t="s">
        <v>23</v>
      </c>
      <c r="H111" s="3" t="s">
        <v>20</v>
      </c>
      <c r="I111" s="3" t="s">
        <v>20</v>
      </c>
      <c r="J111" s="4" t="s">
        <v>21</v>
      </c>
      <c r="K111" s="5" t="s">
        <v>22</v>
      </c>
      <c r="L111" s="6" t="s">
        <v>23</v>
      </c>
      <c r="M111" s="6" t="s">
        <v>23</v>
      </c>
      <c r="N111" s="6" t="s">
        <v>23</v>
      </c>
      <c r="O111" s="3">
        <f>VALUE(RIGHT(F111,1))</f>
        <v>2</v>
      </c>
    </row>
    <row r="112" ht="34" customHeight="1" spans="1:15" x14ac:dyDescent="0.25">
      <c r="A112" s="3" t="s">
        <v>287</v>
      </c>
      <c r="B112" s="4" t="s">
        <v>213</v>
      </c>
      <c r="C112" s="4" t="s">
        <v>279</v>
      </c>
      <c r="D112" s="3" t="s">
        <v>65</v>
      </c>
      <c r="E112" s="4" t="s">
        <v>288</v>
      </c>
      <c r="F112" s="3" t="s">
        <v>7</v>
      </c>
      <c r="G112" s="3" t="s">
        <v>23</v>
      </c>
      <c r="H112" s="3" t="s">
        <v>20</v>
      </c>
      <c r="I112" s="3" t="s">
        <v>20</v>
      </c>
      <c r="J112" s="4" t="s">
        <v>21</v>
      </c>
      <c r="K112" s="5" t="s">
        <v>22</v>
      </c>
      <c r="L112" s="6" t="s">
        <v>23</v>
      </c>
      <c r="M112" s="6" t="s">
        <v>23</v>
      </c>
      <c r="N112" s="6" t="s">
        <v>23</v>
      </c>
      <c r="O112" s="3">
        <f>VALUE(RIGHT(F112,1))</f>
        <v>2</v>
      </c>
    </row>
    <row r="113" ht="48" customHeight="1" spans="1:15" x14ac:dyDescent="0.25">
      <c r="A113" s="3" t="s">
        <v>289</v>
      </c>
      <c r="B113" s="4" t="s">
        <v>290</v>
      </c>
      <c r="C113" s="4" t="s">
        <v>291</v>
      </c>
      <c r="D113" s="3" t="s">
        <v>232</v>
      </c>
      <c r="E113" s="4" t="s">
        <v>292</v>
      </c>
      <c r="F113" s="3" t="s">
        <v>6</v>
      </c>
      <c r="G113" s="3" t="s">
        <v>20</v>
      </c>
      <c r="H113" s="3" t="s">
        <v>20</v>
      </c>
      <c r="I113" s="3" t="s">
        <v>20</v>
      </c>
      <c r="J113" s="4" t="s">
        <v>293</v>
      </c>
      <c r="K113" s="5" t="s">
        <v>22</v>
      </c>
      <c r="L113" s="6" t="s">
        <v>23</v>
      </c>
      <c r="M113" s="6" t="s">
        <v>23</v>
      </c>
      <c r="N113" s="6" t="s">
        <v>23</v>
      </c>
      <c r="O113" s="3">
        <f>VALUE(RIGHT(F113,1))</f>
        <v>1</v>
      </c>
    </row>
    <row r="114" ht="48" customHeight="1" spans="1:15" x14ac:dyDescent="0.25">
      <c r="A114" s="3" t="s">
        <v>294</v>
      </c>
      <c r="B114" s="4" t="s">
        <v>290</v>
      </c>
      <c r="C114" s="4" t="s">
        <v>291</v>
      </c>
      <c r="D114" s="3" t="s">
        <v>232</v>
      </c>
      <c r="E114" s="4" t="s">
        <v>295</v>
      </c>
      <c r="F114" s="3" t="s">
        <v>6</v>
      </c>
      <c r="G114" s="3" t="s">
        <v>20</v>
      </c>
      <c r="H114" s="3" t="s">
        <v>20</v>
      </c>
      <c r="I114" s="3" t="s">
        <v>20</v>
      </c>
      <c r="J114" s="4" t="s">
        <v>293</v>
      </c>
      <c r="K114" s="5" t="s">
        <v>22</v>
      </c>
      <c r="L114" s="6" t="s">
        <v>23</v>
      </c>
      <c r="M114" s="6" t="s">
        <v>23</v>
      </c>
      <c r="N114" s="6" t="s">
        <v>23</v>
      </c>
      <c r="O114" s="3">
        <f>VALUE(RIGHT(F114,1))</f>
        <v>1</v>
      </c>
    </row>
    <row r="115" ht="48" customHeight="1" spans="1:15" x14ac:dyDescent="0.25">
      <c r="A115" s="3" t="s">
        <v>296</v>
      </c>
      <c r="B115" s="4" t="s">
        <v>290</v>
      </c>
      <c r="C115" s="4" t="s">
        <v>291</v>
      </c>
      <c r="D115" s="3" t="s">
        <v>232</v>
      </c>
      <c r="E115" s="4" t="s">
        <v>297</v>
      </c>
      <c r="F115" s="3" t="s">
        <v>7</v>
      </c>
      <c r="G115" s="3" t="s">
        <v>23</v>
      </c>
      <c r="H115" s="3" t="s">
        <v>20</v>
      </c>
      <c r="I115" s="3" t="s">
        <v>20</v>
      </c>
      <c r="J115" s="4" t="s">
        <v>293</v>
      </c>
      <c r="K115" s="5" t="s">
        <v>22</v>
      </c>
      <c r="L115" s="6" t="s">
        <v>23</v>
      </c>
      <c r="M115" s="6" t="s">
        <v>23</v>
      </c>
      <c r="N115" s="6" t="s">
        <v>23</v>
      </c>
      <c r="O115" s="3">
        <f>VALUE(RIGHT(F115,1))</f>
        <v>2</v>
      </c>
    </row>
    <row r="116" ht="48" customHeight="1" spans="1:15" x14ac:dyDescent="0.25">
      <c r="A116" s="3" t="s">
        <v>298</v>
      </c>
      <c r="B116" s="4" t="s">
        <v>290</v>
      </c>
      <c r="C116" s="4" t="s">
        <v>291</v>
      </c>
      <c r="D116" s="3" t="s">
        <v>232</v>
      </c>
      <c r="E116" s="4" t="s">
        <v>299</v>
      </c>
      <c r="F116" s="3" t="s">
        <v>7</v>
      </c>
      <c r="G116" s="3" t="s">
        <v>23</v>
      </c>
      <c r="H116" s="3" t="s">
        <v>20</v>
      </c>
      <c r="I116" s="3" t="s">
        <v>20</v>
      </c>
      <c r="J116" s="4" t="s">
        <v>293</v>
      </c>
      <c r="K116" s="5" t="s">
        <v>22</v>
      </c>
      <c r="L116" s="6" t="s">
        <v>23</v>
      </c>
      <c r="M116" s="6" t="s">
        <v>23</v>
      </c>
      <c r="N116" s="6" t="s">
        <v>23</v>
      </c>
      <c r="O116" s="3">
        <f>VALUE(RIGHT(F116,1))</f>
        <v>2</v>
      </c>
    </row>
    <row r="117" ht="34" customHeight="1" spans="1:15" x14ac:dyDescent="0.25">
      <c r="A117" s="3" t="s">
        <v>300</v>
      </c>
      <c r="B117" s="4" t="s">
        <v>290</v>
      </c>
      <c r="C117" s="4" t="s">
        <v>301</v>
      </c>
      <c r="D117" s="3" t="s">
        <v>232</v>
      </c>
      <c r="E117" s="4" t="s">
        <v>302</v>
      </c>
      <c r="F117" s="3" t="s">
        <v>6</v>
      </c>
      <c r="G117" s="3" t="s">
        <v>20</v>
      </c>
      <c r="H117" s="3" t="s">
        <v>20</v>
      </c>
      <c r="I117" s="3" t="s">
        <v>20</v>
      </c>
      <c r="J117" s="4" t="s">
        <v>303</v>
      </c>
      <c r="K117" s="5" t="s">
        <v>22</v>
      </c>
      <c r="L117" s="6" t="s">
        <v>23</v>
      </c>
      <c r="M117" s="6" t="s">
        <v>23</v>
      </c>
      <c r="N117" s="6" t="s">
        <v>23</v>
      </c>
      <c r="O117" s="3">
        <f>VALUE(RIGHT(F117,1))</f>
        <v>1</v>
      </c>
    </row>
    <row r="118" ht="48" customHeight="1" spans="1:15" x14ac:dyDescent="0.25">
      <c r="A118" s="3" t="s">
        <v>304</v>
      </c>
      <c r="B118" s="4" t="s">
        <v>290</v>
      </c>
      <c r="C118" s="4" t="s">
        <v>301</v>
      </c>
      <c r="D118" s="3" t="s">
        <v>18</v>
      </c>
      <c r="E118" s="4" t="s">
        <v>305</v>
      </c>
      <c r="F118" s="3" t="s">
        <v>6</v>
      </c>
      <c r="G118" s="3" t="s">
        <v>20</v>
      </c>
      <c r="H118" s="3" t="s">
        <v>20</v>
      </c>
      <c r="I118" s="3" t="s">
        <v>20</v>
      </c>
      <c r="J118" s="4" t="s">
        <v>303</v>
      </c>
      <c r="K118" s="5" t="s">
        <v>22</v>
      </c>
      <c r="L118" s="6" t="s">
        <v>23</v>
      </c>
      <c r="M118" s="6" t="s">
        <v>23</v>
      </c>
      <c r="N118" s="6" t="s">
        <v>23</v>
      </c>
      <c r="O118" s="3">
        <f>VALUE(RIGHT(F118,1))</f>
        <v>1</v>
      </c>
    </row>
    <row r="119" ht="34" customHeight="1" spans="1:15" x14ac:dyDescent="0.25">
      <c r="A119" s="3" t="s">
        <v>306</v>
      </c>
      <c r="B119" s="4" t="s">
        <v>290</v>
      </c>
      <c r="C119" s="4" t="s">
        <v>301</v>
      </c>
      <c r="D119" s="3" t="s">
        <v>62</v>
      </c>
      <c r="E119" s="4" t="s">
        <v>307</v>
      </c>
      <c r="F119" s="3" t="s">
        <v>7</v>
      </c>
      <c r="G119" s="3" t="s">
        <v>23</v>
      </c>
      <c r="H119" s="3" t="s">
        <v>20</v>
      </c>
      <c r="I119" s="3" t="s">
        <v>20</v>
      </c>
      <c r="J119" s="4" t="s">
        <v>303</v>
      </c>
      <c r="K119" s="5" t="s">
        <v>22</v>
      </c>
      <c r="L119" s="6" t="s">
        <v>23</v>
      </c>
      <c r="M119" s="6" t="s">
        <v>23</v>
      </c>
      <c r="N119" s="6" t="s">
        <v>23</v>
      </c>
      <c r="O119" s="3">
        <f>VALUE(RIGHT(F119,1))</f>
        <v>2</v>
      </c>
    </row>
    <row r="120" ht="20" customHeight="1" spans="1:15" x14ac:dyDescent="0.25">
      <c r="A120" s="3" t="s">
        <v>308</v>
      </c>
      <c r="B120" s="4" t="s">
        <v>290</v>
      </c>
      <c r="C120" s="4" t="s">
        <v>301</v>
      </c>
      <c r="D120" s="3" t="s">
        <v>232</v>
      </c>
      <c r="E120" s="4" t="s">
        <v>309</v>
      </c>
      <c r="F120" s="3" t="s">
        <v>7</v>
      </c>
      <c r="G120" s="3" t="s">
        <v>23</v>
      </c>
      <c r="H120" s="3" t="s">
        <v>20</v>
      </c>
      <c r="I120" s="3" t="s">
        <v>20</v>
      </c>
      <c r="J120" s="4" t="s">
        <v>303</v>
      </c>
      <c r="K120" s="5" t="s">
        <v>22</v>
      </c>
      <c r="L120" s="6" t="s">
        <v>23</v>
      </c>
      <c r="M120" s="6" t="s">
        <v>23</v>
      </c>
      <c r="N120" s="6" t="s">
        <v>23</v>
      </c>
      <c r="O120" s="3">
        <f>VALUE(RIGHT(F120,1))</f>
        <v>2</v>
      </c>
    </row>
    <row r="121" ht="34" customHeight="1" spans="1:15" x14ac:dyDescent="0.25">
      <c r="A121" s="3" t="s">
        <v>310</v>
      </c>
      <c r="B121" s="4" t="s">
        <v>290</v>
      </c>
      <c r="C121" s="4" t="s">
        <v>311</v>
      </c>
      <c r="D121" s="3" t="s">
        <v>232</v>
      </c>
      <c r="E121" s="4" t="s">
        <v>312</v>
      </c>
      <c r="F121" s="3" t="s">
        <v>6</v>
      </c>
      <c r="G121" s="3" t="s">
        <v>20</v>
      </c>
      <c r="H121" s="3" t="s">
        <v>20</v>
      </c>
      <c r="I121" s="3" t="s">
        <v>20</v>
      </c>
      <c r="J121" s="4" t="s">
        <v>313</v>
      </c>
      <c r="K121" s="5" t="s">
        <v>22</v>
      </c>
      <c r="L121" s="6" t="s">
        <v>23</v>
      </c>
      <c r="M121" s="6" t="s">
        <v>23</v>
      </c>
      <c r="N121" s="6" t="s">
        <v>23</v>
      </c>
      <c r="O121" s="3">
        <f>VALUE(RIGHT(F121,1))</f>
        <v>1</v>
      </c>
    </row>
    <row r="122" ht="34" customHeight="1" spans="1:15" x14ac:dyDescent="0.25">
      <c r="A122" s="3" t="s">
        <v>314</v>
      </c>
      <c r="B122" s="4" t="s">
        <v>290</v>
      </c>
      <c r="C122" s="4" t="s">
        <v>311</v>
      </c>
      <c r="D122" s="3" t="s">
        <v>62</v>
      </c>
      <c r="E122" s="4" t="s">
        <v>315</v>
      </c>
      <c r="F122" s="3" t="s">
        <v>6</v>
      </c>
      <c r="G122" s="3" t="s">
        <v>20</v>
      </c>
      <c r="H122" s="3" t="s">
        <v>20</v>
      </c>
      <c r="I122" s="3" t="s">
        <v>20</v>
      </c>
      <c r="J122" s="4" t="s">
        <v>313</v>
      </c>
      <c r="K122" s="5" t="s">
        <v>22</v>
      </c>
      <c r="L122" s="6" t="s">
        <v>23</v>
      </c>
      <c r="M122" s="6" t="s">
        <v>23</v>
      </c>
      <c r="N122" s="6" t="s">
        <v>23</v>
      </c>
      <c r="O122" s="3">
        <f>VALUE(RIGHT(F122,1))</f>
        <v>1</v>
      </c>
    </row>
    <row r="123" ht="34" customHeight="1" spans="1:15" x14ac:dyDescent="0.25">
      <c r="A123" s="3" t="s">
        <v>316</v>
      </c>
      <c r="B123" s="4" t="s">
        <v>290</v>
      </c>
      <c r="C123" s="4" t="s">
        <v>311</v>
      </c>
      <c r="D123" s="3" t="s">
        <v>65</v>
      </c>
      <c r="E123" s="4" t="s">
        <v>317</v>
      </c>
      <c r="F123" s="3" t="s">
        <v>7</v>
      </c>
      <c r="G123" s="3" t="s">
        <v>23</v>
      </c>
      <c r="H123" s="3" t="s">
        <v>20</v>
      </c>
      <c r="I123" s="3" t="s">
        <v>20</v>
      </c>
      <c r="J123" s="4" t="s">
        <v>313</v>
      </c>
      <c r="K123" s="5" t="s">
        <v>22</v>
      </c>
      <c r="L123" s="6" t="s">
        <v>23</v>
      </c>
      <c r="M123" s="6" t="s">
        <v>23</v>
      </c>
      <c r="N123" s="6" t="s">
        <v>23</v>
      </c>
      <c r="O123" s="3">
        <f>VALUE(RIGHT(F123,1))</f>
        <v>2</v>
      </c>
    </row>
    <row r="124" ht="34" customHeight="1" spans="1:15" x14ac:dyDescent="0.25">
      <c r="A124" s="3" t="s">
        <v>318</v>
      </c>
      <c r="B124" s="4" t="s">
        <v>290</v>
      </c>
      <c r="C124" s="4" t="s">
        <v>311</v>
      </c>
      <c r="D124" s="3" t="s">
        <v>232</v>
      </c>
      <c r="E124" s="4" t="s">
        <v>319</v>
      </c>
      <c r="F124" s="3" t="s">
        <v>7</v>
      </c>
      <c r="G124" s="3" t="s">
        <v>23</v>
      </c>
      <c r="H124" s="3" t="s">
        <v>20</v>
      </c>
      <c r="I124" s="3" t="s">
        <v>20</v>
      </c>
      <c r="J124" s="4" t="s">
        <v>313</v>
      </c>
      <c r="K124" s="5" t="s">
        <v>22</v>
      </c>
      <c r="L124" s="6" t="s">
        <v>23</v>
      </c>
      <c r="M124" s="6" t="s">
        <v>23</v>
      </c>
      <c r="N124" s="6" t="s">
        <v>23</v>
      </c>
      <c r="O124" s="3">
        <f>VALUE(RIGHT(F124,1))</f>
        <v>2</v>
      </c>
    </row>
    <row r="125" ht="48" customHeight="1" spans="1:15" x14ac:dyDescent="0.25">
      <c r="A125" s="3" t="s">
        <v>320</v>
      </c>
      <c r="B125" s="4" t="s">
        <v>290</v>
      </c>
      <c r="C125" s="4" t="s">
        <v>311</v>
      </c>
      <c r="D125" s="3" t="s">
        <v>62</v>
      </c>
      <c r="E125" s="4" t="s">
        <v>321</v>
      </c>
      <c r="F125" s="3" t="s">
        <v>6</v>
      </c>
      <c r="G125" s="3" t="s">
        <v>20</v>
      </c>
      <c r="H125" s="3" t="s">
        <v>20</v>
      </c>
      <c r="I125" s="3" t="s">
        <v>20</v>
      </c>
      <c r="J125" s="4" t="s">
        <v>313</v>
      </c>
      <c r="K125" s="5" t="s">
        <v>22</v>
      </c>
      <c r="L125" s="6" t="s">
        <v>23</v>
      </c>
      <c r="M125" s="6" t="s">
        <v>23</v>
      </c>
      <c r="N125" s="6" t="s">
        <v>23</v>
      </c>
      <c r="O125" s="3">
        <f>VALUE(RIGHT(F125,1))</f>
        <v>1</v>
      </c>
    </row>
    <row r="126" ht="34" customHeight="1" spans="1:15" x14ac:dyDescent="0.25">
      <c r="A126" s="3" t="s">
        <v>322</v>
      </c>
      <c r="B126" s="4" t="s">
        <v>290</v>
      </c>
      <c r="C126" s="4" t="s">
        <v>323</v>
      </c>
      <c r="D126" s="3" t="s">
        <v>232</v>
      </c>
      <c r="E126" s="4" t="s">
        <v>324</v>
      </c>
      <c r="F126" s="3" t="s">
        <v>6</v>
      </c>
      <c r="G126" s="3" t="s">
        <v>20</v>
      </c>
      <c r="H126" s="3" t="s">
        <v>20</v>
      </c>
      <c r="I126" s="3" t="s">
        <v>20</v>
      </c>
      <c r="J126" s="4" t="s">
        <v>325</v>
      </c>
      <c r="K126" s="5" t="s">
        <v>22</v>
      </c>
      <c r="L126" s="6" t="s">
        <v>23</v>
      </c>
      <c r="M126" s="6" t="s">
        <v>23</v>
      </c>
      <c r="N126" s="6" t="s">
        <v>23</v>
      </c>
      <c r="O126" s="3">
        <f>VALUE(RIGHT(F126,1))</f>
        <v>1</v>
      </c>
    </row>
    <row r="127" ht="34" customHeight="1" spans="1:15" x14ac:dyDescent="0.25">
      <c r="A127" s="3" t="s">
        <v>326</v>
      </c>
      <c r="B127" s="4" t="s">
        <v>290</v>
      </c>
      <c r="C127" s="4" t="s">
        <v>323</v>
      </c>
      <c r="D127" s="3" t="s">
        <v>232</v>
      </c>
      <c r="E127" s="4" t="s">
        <v>327</v>
      </c>
      <c r="F127" s="3" t="s">
        <v>6</v>
      </c>
      <c r="G127" s="3" t="s">
        <v>20</v>
      </c>
      <c r="H127" s="3" t="s">
        <v>20</v>
      </c>
      <c r="I127" s="3" t="s">
        <v>20</v>
      </c>
      <c r="J127" s="4" t="s">
        <v>325</v>
      </c>
      <c r="K127" s="5" t="s">
        <v>22</v>
      </c>
      <c r="L127" s="6" t="s">
        <v>23</v>
      </c>
      <c r="M127" s="6" t="s">
        <v>23</v>
      </c>
      <c r="N127" s="6" t="s">
        <v>23</v>
      </c>
      <c r="O127" s="3">
        <f>VALUE(RIGHT(F127,1))</f>
        <v>1</v>
      </c>
    </row>
    <row r="128" ht="48" customHeight="1" spans="1:15" x14ac:dyDescent="0.25">
      <c r="A128" s="3" t="s">
        <v>328</v>
      </c>
      <c r="B128" s="4" t="s">
        <v>290</v>
      </c>
      <c r="C128" s="4" t="s">
        <v>323</v>
      </c>
      <c r="D128" s="3" t="s">
        <v>62</v>
      </c>
      <c r="E128" s="4" t="s">
        <v>329</v>
      </c>
      <c r="F128" s="3" t="s">
        <v>6</v>
      </c>
      <c r="G128" s="3" t="s">
        <v>20</v>
      </c>
      <c r="H128" s="3" t="s">
        <v>20</v>
      </c>
      <c r="I128" s="3" t="s">
        <v>20</v>
      </c>
      <c r="J128" s="4" t="s">
        <v>325</v>
      </c>
      <c r="K128" s="5" t="s">
        <v>22</v>
      </c>
      <c r="L128" s="6" t="s">
        <v>23</v>
      </c>
      <c r="M128" s="6" t="s">
        <v>23</v>
      </c>
      <c r="N128" s="6" t="s">
        <v>23</v>
      </c>
      <c r="O128" s="3">
        <f>VALUE(RIGHT(F128,1))</f>
        <v>1</v>
      </c>
    </row>
    <row r="129" ht="34" customHeight="1" spans="1:15" x14ac:dyDescent="0.25">
      <c r="A129" s="3" t="s">
        <v>330</v>
      </c>
      <c r="B129" s="4" t="s">
        <v>290</v>
      </c>
      <c r="C129" s="4" t="s">
        <v>323</v>
      </c>
      <c r="D129" s="3" t="s">
        <v>65</v>
      </c>
      <c r="E129" s="4" t="s">
        <v>331</v>
      </c>
      <c r="F129" s="3" t="s">
        <v>6</v>
      </c>
      <c r="G129" s="3" t="s">
        <v>20</v>
      </c>
      <c r="H129" s="3" t="s">
        <v>20</v>
      </c>
      <c r="I129" s="3" t="s">
        <v>20</v>
      </c>
      <c r="J129" s="4" t="s">
        <v>325</v>
      </c>
      <c r="K129" s="5" t="s">
        <v>22</v>
      </c>
      <c r="L129" s="6" t="s">
        <v>23</v>
      </c>
      <c r="M129" s="6" t="s">
        <v>23</v>
      </c>
      <c r="N129" s="6" t="s">
        <v>23</v>
      </c>
      <c r="O129" s="3">
        <f>VALUE(RIGHT(F129,1))</f>
        <v>1</v>
      </c>
    </row>
    <row r="130" ht="34" customHeight="1" spans="1:15" x14ac:dyDescent="0.25">
      <c r="A130" s="3" t="s">
        <v>332</v>
      </c>
      <c r="B130" s="4" t="s">
        <v>290</v>
      </c>
      <c r="C130" s="4" t="s">
        <v>333</v>
      </c>
      <c r="D130" s="3" t="s">
        <v>62</v>
      </c>
      <c r="E130" s="4" t="s">
        <v>334</v>
      </c>
      <c r="F130" s="3" t="s">
        <v>6</v>
      </c>
      <c r="G130" s="3" t="s">
        <v>20</v>
      </c>
      <c r="H130" s="3" t="s">
        <v>20</v>
      </c>
      <c r="I130" s="3" t="s">
        <v>20</v>
      </c>
      <c r="J130" s="4" t="s">
        <v>21</v>
      </c>
      <c r="K130" s="5" t="s">
        <v>22</v>
      </c>
      <c r="L130" s="6" t="s">
        <v>23</v>
      </c>
      <c r="M130" s="6" t="s">
        <v>23</v>
      </c>
      <c r="N130" s="6" t="s">
        <v>23</v>
      </c>
      <c r="O130" s="3">
        <f>VALUE(RIGHT(F130,1))</f>
        <v>1</v>
      </c>
    </row>
    <row r="131" ht="34" customHeight="1" spans="1:15" x14ac:dyDescent="0.25">
      <c r="A131" s="3" t="s">
        <v>335</v>
      </c>
      <c r="B131" s="4" t="s">
        <v>290</v>
      </c>
      <c r="C131" s="4" t="s">
        <v>333</v>
      </c>
      <c r="D131" s="3" t="s">
        <v>62</v>
      </c>
      <c r="E131" s="4" t="s">
        <v>336</v>
      </c>
      <c r="F131" s="3" t="s">
        <v>6</v>
      </c>
      <c r="G131" s="3" t="s">
        <v>20</v>
      </c>
      <c r="H131" s="3" t="s">
        <v>20</v>
      </c>
      <c r="I131" s="3" t="s">
        <v>20</v>
      </c>
      <c r="J131" s="4" t="s">
        <v>21</v>
      </c>
      <c r="K131" s="5" t="s">
        <v>22</v>
      </c>
      <c r="L131" s="6" t="s">
        <v>23</v>
      </c>
      <c r="M131" s="6" t="s">
        <v>23</v>
      </c>
      <c r="N131" s="6" t="s">
        <v>23</v>
      </c>
      <c r="O131" s="3">
        <f>VALUE(RIGHT(F131,1))</f>
        <v>1</v>
      </c>
    </row>
    <row r="132" ht="34" customHeight="1" spans="1:15" x14ac:dyDescent="0.25">
      <c r="A132" s="3" t="s">
        <v>337</v>
      </c>
      <c r="B132" s="4" t="s">
        <v>290</v>
      </c>
      <c r="C132" s="4" t="s">
        <v>333</v>
      </c>
      <c r="D132" s="3" t="s">
        <v>62</v>
      </c>
      <c r="E132" s="4" t="s">
        <v>338</v>
      </c>
      <c r="F132" s="3" t="s">
        <v>7</v>
      </c>
      <c r="G132" s="3" t="s">
        <v>23</v>
      </c>
      <c r="H132" s="3" t="s">
        <v>20</v>
      </c>
      <c r="I132" s="3" t="s">
        <v>20</v>
      </c>
      <c r="J132" s="4" t="s">
        <v>21</v>
      </c>
      <c r="K132" s="5" t="s">
        <v>22</v>
      </c>
      <c r="L132" s="6" t="s">
        <v>23</v>
      </c>
      <c r="M132" s="6" t="s">
        <v>23</v>
      </c>
      <c r="N132" s="6" t="s">
        <v>23</v>
      </c>
      <c r="O132" s="3">
        <f>VALUE(RIGHT(F132,1))</f>
        <v>2</v>
      </c>
    </row>
    <row r="133" ht="34" customHeight="1" spans="1:15" x14ac:dyDescent="0.25">
      <c r="A133" s="3" t="s">
        <v>339</v>
      </c>
      <c r="B133" s="4" t="s">
        <v>290</v>
      </c>
      <c r="C133" s="4" t="s">
        <v>333</v>
      </c>
      <c r="D133" s="3" t="s">
        <v>62</v>
      </c>
      <c r="E133" s="4" t="s">
        <v>340</v>
      </c>
      <c r="F133" s="3" t="s">
        <v>6</v>
      </c>
      <c r="G133" s="3" t="s">
        <v>20</v>
      </c>
      <c r="H133" s="3" t="s">
        <v>20</v>
      </c>
      <c r="I133" s="3" t="s">
        <v>20</v>
      </c>
      <c r="J133" s="4" t="s">
        <v>21</v>
      </c>
      <c r="K133" s="5" t="s">
        <v>22</v>
      </c>
      <c r="L133" s="6" t="s">
        <v>23</v>
      </c>
      <c r="M133" s="6" t="s">
        <v>23</v>
      </c>
      <c r="N133" s="6" t="s">
        <v>23</v>
      </c>
      <c r="O133" s="3">
        <f>VALUE(RIGHT(F133,1))</f>
        <v>1</v>
      </c>
    </row>
    <row r="134" ht="34" customHeight="1" spans="1:15" x14ac:dyDescent="0.25">
      <c r="A134" s="3" t="s">
        <v>341</v>
      </c>
      <c r="B134" s="4" t="s">
        <v>290</v>
      </c>
      <c r="C134" s="4" t="s">
        <v>333</v>
      </c>
      <c r="D134" s="3" t="s">
        <v>62</v>
      </c>
      <c r="E134" s="4" t="s">
        <v>342</v>
      </c>
      <c r="F134" s="3" t="s">
        <v>6</v>
      </c>
      <c r="G134" s="3" t="s">
        <v>20</v>
      </c>
      <c r="H134" s="3" t="s">
        <v>20</v>
      </c>
      <c r="I134" s="3" t="s">
        <v>20</v>
      </c>
      <c r="J134" s="4" t="s">
        <v>21</v>
      </c>
      <c r="K134" s="5" t="s">
        <v>22</v>
      </c>
      <c r="L134" s="6" t="s">
        <v>23</v>
      </c>
      <c r="M134" s="6" t="s">
        <v>23</v>
      </c>
      <c r="N134" s="6" t="s">
        <v>23</v>
      </c>
      <c r="O134" s="3">
        <f>VALUE(RIGHT(F134,1))</f>
        <v>1</v>
      </c>
    </row>
    <row r="135" ht="34" customHeight="1" spans="1:15" x14ac:dyDescent="0.25">
      <c r="A135" s="3" t="s">
        <v>343</v>
      </c>
      <c r="B135" s="4" t="s">
        <v>290</v>
      </c>
      <c r="C135" s="4" t="s">
        <v>333</v>
      </c>
      <c r="D135" s="3" t="s">
        <v>62</v>
      </c>
      <c r="E135" s="4" t="s">
        <v>344</v>
      </c>
      <c r="F135" s="3" t="s">
        <v>7</v>
      </c>
      <c r="G135" s="3" t="s">
        <v>23</v>
      </c>
      <c r="H135" s="3" t="s">
        <v>20</v>
      </c>
      <c r="I135" s="3" t="s">
        <v>20</v>
      </c>
      <c r="J135" s="4" t="s">
        <v>21</v>
      </c>
      <c r="K135" s="5" t="s">
        <v>22</v>
      </c>
      <c r="L135" s="6" t="s">
        <v>23</v>
      </c>
      <c r="M135" s="6" t="s">
        <v>23</v>
      </c>
      <c r="N135" s="6" t="s">
        <v>23</v>
      </c>
      <c r="O135" s="3">
        <f>VALUE(RIGHT(F135,1))</f>
        <v>2</v>
      </c>
    </row>
    <row r="136" ht="34" customHeight="1" spans="1:15" x14ac:dyDescent="0.25">
      <c r="A136" s="3" t="s">
        <v>345</v>
      </c>
      <c r="B136" s="4" t="s">
        <v>290</v>
      </c>
      <c r="C136" s="4" t="s">
        <v>346</v>
      </c>
      <c r="D136" s="3" t="s">
        <v>111</v>
      </c>
      <c r="E136" s="4" t="s">
        <v>347</v>
      </c>
      <c r="F136" s="3" t="s">
        <v>6</v>
      </c>
      <c r="G136" s="3" t="s">
        <v>20</v>
      </c>
      <c r="H136" s="3" t="s">
        <v>20</v>
      </c>
      <c r="I136" s="3" t="s">
        <v>20</v>
      </c>
      <c r="J136" s="4" t="s">
        <v>348</v>
      </c>
      <c r="K136" s="5" t="s">
        <v>22</v>
      </c>
      <c r="L136" s="6" t="s">
        <v>23</v>
      </c>
      <c r="M136" s="6" t="s">
        <v>23</v>
      </c>
      <c r="N136" s="6" t="s">
        <v>23</v>
      </c>
      <c r="O136" s="3">
        <f>VALUE(RIGHT(F136,1))</f>
        <v>1</v>
      </c>
    </row>
    <row r="137" ht="34" customHeight="1" spans="1:15" x14ac:dyDescent="0.25">
      <c r="A137" s="3" t="s">
        <v>349</v>
      </c>
      <c r="B137" s="4" t="s">
        <v>290</v>
      </c>
      <c r="C137" s="4" t="s">
        <v>346</v>
      </c>
      <c r="D137" s="3" t="s">
        <v>111</v>
      </c>
      <c r="E137" s="4" t="s">
        <v>350</v>
      </c>
      <c r="F137" s="3" t="s">
        <v>7</v>
      </c>
      <c r="G137" s="3" t="s">
        <v>23</v>
      </c>
      <c r="H137" s="3" t="s">
        <v>20</v>
      </c>
      <c r="I137" s="3" t="s">
        <v>20</v>
      </c>
      <c r="J137" s="4" t="s">
        <v>348</v>
      </c>
      <c r="K137" s="5" t="s">
        <v>22</v>
      </c>
      <c r="L137" s="6" t="s">
        <v>23</v>
      </c>
      <c r="M137" s="6" t="s">
        <v>23</v>
      </c>
      <c r="N137" s="6" t="s">
        <v>23</v>
      </c>
      <c r="O137" s="3">
        <f>VALUE(RIGHT(F137,1))</f>
        <v>2</v>
      </c>
    </row>
    <row r="138" ht="34" customHeight="1" spans="1:15" x14ac:dyDescent="0.25">
      <c r="A138" s="3" t="s">
        <v>351</v>
      </c>
      <c r="B138" s="4" t="s">
        <v>290</v>
      </c>
      <c r="C138" s="4" t="s">
        <v>346</v>
      </c>
      <c r="D138" s="3" t="s">
        <v>111</v>
      </c>
      <c r="E138" s="4" t="s">
        <v>352</v>
      </c>
      <c r="F138" s="3" t="s">
        <v>7</v>
      </c>
      <c r="G138" s="3" t="s">
        <v>23</v>
      </c>
      <c r="H138" s="3" t="s">
        <v>20</v>
      </c>
      <c r="I138" s="3" t="s">
        <v>20</v>
      </c>
      <c r="J138" s="4" t="s">
        <v>348</v>
      </c>
      <c r="K138" s="5" t="s">
        <v>22</v>
      </c>
      <c r="L138" s="6" t="s">
        <v>23</v>
      </c>
      <c r="M138" s="6" t="s">
        <v>23</v>
      </c>
      <c r="N138" s="6" t="s">
        <v>23</v>
      </c>
      <c r="O138" s="3">
        <f>VALUE(RIGHT(F138,1))</f>
        <v>2</v>
      </c>
    </row>
    <row r="139" ht="34" customHeight="1" spans="1:15" x14ac:dyDescent="0.25">
      <c r="A139" s="3" t="s">
        <v>353</v>
      </c>
      <c r="B139" s="4" t="s">
        <v>290</v>
      </c>
      <c r="C139" s="4" t="s">
        <v>346</v>
      </c>
      <c r="D139" s="3" t="s">
        <v>62</v>
      </c>
      <c r="E139" s="4" t="s">
        <v>354</v>
      </c>
      <c r="F139" s="3" t="s">
        <v>7</v>
      </c>
      <c r="G139" s="3" t="s">
        <v>23</v>
      </c>
      <c r="H139" s="3" t="s">
        <v>20</v>
      </c>
      <c r="I139" s="3" t="s">
        <v>20</v>
      </c>
      <c r="J139" s="4" t="s">
        <v>348</v>
      </c>
      <c r="K139" s="5" t="s">
        <v>22</v>
      </c>
      <c r="L139" s="6" t="s">
        <v>23</v>
      </c>
      <c r="M139" s="6" t="s">
        <v>23</v>
      </c>
      <c r="N139" s="6" t="s">
        <v>23</v>
      </c>
      <c r="O139" s="3">
        <f>VALUE(RIGHT(F139,1))</f>
        <v>2</v>
      </c>
    </row>
    <row r="140" ht="34" customHeight="1" spans="1:15" x14ac:dyDescent="0.25">
      <c r="A140" s="3" t="s">
        <v>355</v>
      </c>
      <c r="B140" s="4" t="s">
        <v>356</v>
      </c>
      <c r="C140" s="4" t="s">
        <v>357</v>
      </c>
      <c r="D140" s="3" t="s">
        <v>62</v>
      </c>
      <c r="E140" s="4" t="s">
        <v>358</v>
      </c>
      <c r="F140" s="3" t="s">
        <v>6</v>
      </c>
      <c r="G140" s="3" t="s">
        <v>20</v>
      </c>
      <c r="H140" s="3" t="s">
        <v>20</v>
      </c>
      <c r="I140" s="3" t="s">
        <v>20</v>
      </c>
      <c r="J140" s="4" t="s">
        <v>21</v>
      </c>
      <c r="K140" s="5" t="s">
        <v>22</v>
      </c>
      <c r="L140" s="6" t="s">
        <v>23</v>
      </c>
      <c r="M140" s="6" t="s">
        <v>23</v>
      </c>
      <c r="N140" s="6" t="s">
        <v>23</v>
      </c>
      <c r="O140" s="3">
        <f>VALUE(RIGHT(F140,1))</f>
        <v>1</v>
      </c>
    </row>
    <row r="141" ht="34" customHeight="1" spans="1:15" x14ac:dyDescent="0.25">
      <c r="A141" s="3" t="s">
        <v>359</v>
      </c>
      <c r="B141" s="4" t="s">
        <v>356</v>
      </c>
      <c r="C141" s="4" t="s">
        <v>357</v>
      </c>
      <c r="D141" s="3" t="s">
        <v>62</v>
      </c>
      <c r="E141" s="4" t="s">
        <v>360</v>
      </c>
      <c r="F141" s="3" t="s">
        <v>7</v>
      </c>
      <c r="G141" s="3" t="s">
        <v>23</v>
      </c>
      <c r="H141" s="3" t="s">
        <v>20</v>
      </c>
      <c r="I141" s="3" t="s">
        <v>20</v>
      </c>
      <c r="J141" s="4" t="s">
        <v>21</v>
      </c>
      <c r="K141" s="5" t="s">
        <v>22</v>
      </c>
      <c r="L141" s="6" t="s">
        <v>23</v>
      </c>
      <c r="M141" s="6" t="s">
        <v>23</v>
      </c>
      <c r="N141" s="6" t="s">
        <v>23</v>
      </c>
      <c r="O141" s="3">
        <f>VALUE(RIGHT(F141,1))</f>
        <v>2</v>
      </c>
    </row>
    <row r="142" ht="34" customHeight="1" spans="1:15" x14ac:dyDescent="0.25">
      <c r="A142" s="3" t="s">
        <v>361</v>
      </c>
      <c r="B142" s="4" t="s">
        <v>356</v>
      </c>
      <c r="C142" s="4" t="s">
        <v>357</v>
      </c>
      <c r="D142" s="3" t="s">
        <v>62</v>
      </c>
      <c r="E142" s="4" t="s">
        <v>362</v>
      </c>
      <c r="F142" s="3" t="s">
        <v>7</v>
      </c>
      <c r="G142" s="3" t="s">
        <v>23</v>
      </c>
      <c r="H142" s="3" t="s">
        <v>20</v>
      </c>
      <c r="I142" s="3" t="s">
        <v>20</v>
      </c>
      <c r="J142" s="4" t="s">
        <v>21</v>
      </c>
      <c r="K142" s="5" t="s">
        <v>22</v>
      </c>
      <c r="L142" s="6" t="s">
        <v>23</v>
      </c>
      <c r="M142" s="6" t="s">
        <v>23</v>
      </c>
      <c r="N142" s="6" t="s">
        <v>23</v>
      </c>
      <c r="O142" s="3">
        <f>VALUE(RIGHT(F142,1))</f>
        <v>2</v>
      </c>
    </row>
    <row r="143" ht="34" customHeight="1" spans="1:15" x14ac:dyDescent="0.25">
      <c r="A143" s="3" t="s">
        <v>363</v>
      </c>
      <c r="B143" s="4" t="s">
        <v>356</v>
      </c>
      <c r="C143" s="4" t="s">
        <v>364</v>
      </c>
      <c r="D143" s="3" t="s">
        <v>62</v>
      </c>
      <c r="E143" s="4" t="s">
        <v>365</v>
      </c>
      <c r="F143" s="3" t="s">
        <v>6</v>
      </c>
      <c r="G143" s="3" t="s">
        <v>20</v>
      </c>
      <c r="H143" s="3" t="s">
        <v>20</v>
      </c>
      <c r="I143" s="3" t="s">
        <v>20</v>
      </c>
      <c r="J143" s="4" t="s">
        <v>21</v>
      </c>
      <c r="K143" s="5" t="s">
        <v>22</v>
      </c>
      <c r="L143" s="6" t="s">
        <v>23</v>
      </c>
      <c r="M143" s="6" t="s">
        <v>23</v>
      </c>
      <c r="N143" s="6" t="s">
        <v>23</v>
      </c>
      <c r="O143" s="3">
        <f>VALUE(RIGHT(F143,1))</f>
        <v>1</v>
      </c>
    </row>
    <row r="144" ht="34" customHeight="1" spans="1:15" x14ac:dyDescent="0.25">
      <c r="A144" s="3" t="s">
        <v>366</v>
      </c>
      <c r="B144" s="4" t="s">
        <v>356</v>
      </c>
      <c r="C144" s="4" t="s">
        <v>364</v>
      </c>
      <c r="D144" s="3" t="s">
        <v>62</v>
      </c>
      <c r="E144" s="4" t="s">
        <v>367</v>
      </c>
      <c r="F144" s="3" t="s">
        <v>7</v>
      </c>
      <c r="G144" s="3" t="s">
        <v>23</v>
      </c>
      <c r="H144" s="3" t="s">
        <v>20</v>
      </c>
      <c r="I144" s="3" t="s">
        <v>20</v>
      </c>
      <c r="J144" s="4" t="s">
        <v>21</v>
      </c>
      <c r="K144" s="5" t="s">
        <v>22</v>
      </c>
      <c r="L144" s="6" t="s">
        <v>23</v>
      </c>
      <c r="M144" s="6" t="s">
        <v>23</v>
      </c>
      <c r="N144" s="6" t="s">
        <v>23</v>
      </c>
      <c r="O144" s="3">
        <f>VALUE(RIGHT(F144,1))</f>
        <v>2</v>
      </c>
    </row>
    <row r="145" ht="34" customHeight="1" spans="1:15" x14ac:dyDescent="0.25">
      <c r="A145" s="3" t="s">
        <v>368</v>
      </c>
      <c r="B145" s="4" t="s">
        <v>356</v>
      </c>
      <c r="C145" s="4" t="s">
        <v>364</v>
      </c>
      <c r="D145" s="3" t="s">
        <v>62</v>
      </c>
      <c r="E145" s="4" t="s">
        <v>369</v>
      </c>
      <c r="F145" s="3" t="s">
        <v>7</v>
      </c>
      <c r="G145" s="3" t="s">
        <v>23</v>
      </c>
      <c r="H145" s="3" t="s">
        <v>20</v>
      </c>
      <c r="I145" s="3" t="s">
        <v>20</v>
      </c>
      <c r="J145" s="4" t="s">
        <v>21</v>
      </c>
      <c r="K145" s="5" t="s">
        <v>22</v>
      </c>
      <c r="L145" s="6" t="s">
        <v>23</v>
      </c>
      <c r="M145" s="6" t="s">
        <v>23</v>
      </c>
      <c r="N145" s="6" t="s">
        <v>23</v>
      </c>
      <c r="O145" s="3">
        <f>VALUE(RIGHT(F145,1))</f>
        <v>2</v>
      </c>
    </row>
    <row r="146" ht="48" customHeight="1" spans="1:15" x14ac:dyDescent="0.25">
      <c r="A146" s="3" t="s">
        <v>370</v>
      </c>
      <c r="B146" s="4" t="s">
        <v>356</v>
      </c>
      <c r="C146" s="4" t="s">
        <v>364</v>
      </c>
      <c r="D146" s="3" t="s">
        <v>62</v>
      </c>
      <c r="E146" s="4" t="s">
        <v>371</v>
      </c>
      <c r="F146" s="3" t="s">
        <v>8</v>
      </c>
      <c r="G146" s="3" t="s">
        <v>23</v>
      </c>
      <c r="H146" s="3" t="s">
        <v>23</v>
      </c>
      <c r="I146" s="3" t="s">
        <v>20</v>
      </c>
      <c r="J146" s="4" t="s">
        <v>21</v>
      </c>
      <c r="K146" s="5" t="s">
        <v>22</v>
      </c>
      <c r="L146" s="6" t="s">
        <v>23</v>
      </c>
      <c r="M146" s="6" t="s">
        <v>23</v>
      </c>
      <c r="N146" s="6" t="s">
        <v>23</v>
      </c>
      <c r="O146" s="3">
        <f>VALUE(RIGHT(F146,1))</f>
        <v>3</v>
      </c>
    </row>
    <row r="147" ht="34" customHeight="1" spans="1:15" x14ac:dyDescent="0.25">
      <c r="A147" s="3" t="s">
        <v>372</v>
      </c>
      <c r="B147" s="4" t="s">
        <v>356</v>
      </c>
      <c r="C147" s="4" t="s">
        <v>373</v>
      </c>
      <c r="D147" s="3" t="s">
        <v>111</v>
      </c>
      <c r="E147" s="4" t="s">
        <v>374</v>
      </c>
      <c r="F147" s="3" t="s">
        <v>6</v>
      </c>
      <c r="G147" s="3" t="s">
        <v>20</v>
      </c>
      <c r="H147" s="3" t="s">
        <v>20</v>
      </c>
      <c r="I147" s="3" t="s">
        <v>20</v>
      </c>
      <c r="J147" s="4" t="s">
        <v>21</v>
      </c>
      <c r="K147" s="5" t="s">
        <v>22</v>
      </c>
      <c r="L147" s="6" t="s">
        <v>23</v>
      </c>
      <c r="M147" s="6" t="s">
        <v>23</v>
      </c>
      <c r="N147" s="6" t="s">
        <v>23</v>
      </c>
      <c r="O147" s="3">
        <f>VALUE(RIGHT(F147,1))</f>
        <v>1</v>
      </c>
    </row>
    <row r="148" ht="34" customHeight="1" spans="1:15" x14ac:dyDescent="0.25">
      <c r="A148" s="3" t="s">
        <v>375</v>
      </c>
      <c r="B148" s="4" t="s">
        <v>356</v>
      </c>
      <c r="C148" s="4" t="s">
        <v>373</v>
      </c>
      <c r="D148" s="3" t="s">
        <v>111</v>
      </c>
      <c r="E148" s="4" t="s">
        <v>376</v>
      </c>
      <c r="F148" s="3" t="s">
        <v>6</v>
      </c>
      <c r="G148" s="3" t="s">
        <v>20</v>
      </c>
      <c r="H148" s="3" t="s">
        <v>20</v>
      </c>
      <c r="I148" s="3" t="s">
        <v>20</v>
      </c>
      <c r="J148" s="4" t="s">
        <v>21</v>
      </c>
      <c r="K148" s="5" t="s">
        <v>22</v>
      </c>
      <c r="L148" s="6" t="s">
        <v>23</v>
      </c>
      <c r="M148" s="6" t="s">
        <v>23</v>
      </c>
      <c r="N148" s="6" t="s">
        <v>23</v>
      </c>
      <c r="O148" s="3">
        <f>VALUE(RIGHT(F148,1))</f>
        <v>1</v>
      </c>
    </row>
    <row r="149" ht="34" customHeight="1" spans="1:15" x14ac:dyDescent="0.25">
      <c r="A149" s="3" t="s">
        <v>377</v>
      </c>
      <c r="B149" s="4" t="s">
        <v>356</v>
      </c>
      <c r="C149" s="4" t="s">
        <v>373</v>
      </c>
      <c r="D149" s="3" t="s">
        <v>111</v>
      </c>
      <c r="E149" s="4" t="s">
        <v>378</v>
      </c>
      <c r="F149" s="3" t="s">
        <v>7</v>
      </c>
      <c r="G149" s="3" t="s">
        <v>23</v>
      </c>
      <c r="H149" s="3" t="s">
        <v>20</v>
      </c>
      <c r="I149" s="3" t="s">
        <v>20</v>
      </c>
      <c r="J149" s="4" t="s">
        <v>21</v>
      </c>
      <c r="K149" s="5" t="s">
        <v>22</v>
      </c>
      <c r="L149" s="6" t="s">
        <v>23</v>
      </c>
      <c r="M149" s="6" t="s">
        <v>23</v>
      </c>
      <c r="N149" s="6" t="s">
        <v>23</v>
      </c>
      <c r="O149" s="3">
        <f>VALUE(RIGHT(F149,1))</f>
        <v>2</v>
      </c>
    </row>
    <row r="150" ht="34" customHeight="1" spans="1:15" x14ac:dyDescent="0.25">
      <c r="A150" s="3" t="s">
        <v>379</v>
      </c>
      <c r="B150" s="4" t="s">
        <v>356</v>
      </c>
      <c r="C150" s="4" t="s">
        <v>380</v>
      </c>
      <c r="D150" s="3" t="s">
        <v>62</v>
      </c>
      <c r="E150" s="4" t="s">
        <v>381</v>
      </c>
      <c r="F150" s="3" t="s">
        <v>7</v>
      </c>
      <c r="G150" s="3" t="s">
        <v>23</v>
      </c>
      <c r="H150" s="3" t="s">
        <v>20</v>
      </c>
      <c r="I150" s="3" t="s">
        <v>20</v>
      </c>
      <c r="J150" s="4" t="s">
        <v>382</v>
      </c>
      <c r="K150" s="5" t="s">
        <v>22</v>
      </c>
      <c r="L150" s="6" t="s">
        <v>23</v>
      </c>
      <c r="M150" s="6" t="s">
        <v>23</v>
      </c>
      <c r="N150" s="6" t="s">
        <v>23</v>
      </c>
      <c r="O150" s="3">
        <f>VALUE(RIGHT(F150,1))</f>
        <v>2</v>
      </c>
    </row>
    <row r="151" ht="34" customHeight="1" spans="1:15" x14ac:dyDescent="0.25">
      <c r="A151" s="3" t="s">
        <v>383</v>
      </c>
      <c r="B151" s="4" t="s">
        <v>356</v>
      </c>
      <c r="C151" s="4" t="s">
        <v>380</v>
      </c>
      <c r="D151" s="3" t="s">
        <v>62</v>
      </c>
      <c r="E151" s="4" t="s">
        <v>384</v>
      </c>
      <c r="F151" s="3" t="s">
        <v>7</v>
      </c>
      <c r="G151" s="3" t="s">
        <v>23</v>
      </c>
      <c r="H151" s="3" t="s">
        <v>20</v>
      </c>
      <c r="I151" s="3" t="s">
        <v>20</v>
      </c>
      <c r="J151" s="4" t="s">
        <v>382</v>
      </c>
      <c r="K151" s="5" t="s">
        <v>22</v>
      </c>
      <c r="L151" s="6" t="s">
        <v>23</v>
      </c>
      <c r="M151" s="6" t="s">
        <v>23</v>
      </c>
      <c r="N151" s="6" t="s">
        <v>23</v>
      </c>
      <c r="O151" s="3">
        <f>VALUE(RIGHT(F151,1))</f>
        <v>2</v>
      </c>
    </row>
    <row r="152" ht="34" customHeight="1" spans="1:15" x14ac:dyDescent="0.25">
      <c r="A152" s="3" t="s">
        <v>385</v>
      </c>
      <c r="B152" s="4" t="s">
        <v>356</v>
      </c>
      <c r="C152" s="4" t="s">
        <v>380</v>
      </c>
      <c r="D152" s="3" t="s">
        <v>62</v>
      </c>
      <c r="E152" s="4" t="s">
        <v>386</v>
      </c>
      <c r="F152" s="3" t="s">
        <v>7</v>
      </c>
      <c r="G152" s="3" t="s">
        <v>23</v>
      </c>
      <c r="H152" s="3" t="s">
        <v>20</v>
      </c>
      <c r="I152" s="3" t="s">
        <v>20</v>
      </c>
      <c r="J152" s="4" t="s">
        <v>382</v>
      </c>
      <c r="K152" s="5" t="s">
        <v>22</v>
      </c>
      <c r="L152" s="6" t="s">
        <v>23</v>
      </c>
      <c r="M152" s="6" t="s">
        <v>23</v>
      </c>
      <c r="N152" s="6" t="s">
        <v>23</v>
      </c>
      <c r="O152" s="3">
        <f>VALUE(RIGHT(F152,1))</f>
        <v>2</v>
      </c>
    </row>
    <row r="153" ht="34" customHeight="1" spans="1:15" x14ac:dyDescent="0.25">
      <c r="A153" s="3" t="s">
        <v>387</v>
      </c>
      <c r="B153" s="4" t="s">
        <v>388</v>
      </c>
      <c r="C153" s="4" t="s">
        <v>389</v>
      </c>
      <c r="D153" s="3" t="s">
        <v>32</v>
      </c>
      <c r="E153" s="4" t="s">
        <v>390</v>
      </c>
      <c r="F153" s="3" t="s">
        <v>6</v>
      </c>
      <c r="G153" s="3" t="s">
        <v>20</v>
      </c>
      <c r="H153" s="3" t="s">
        <v>20</v>
      </c>
      <c r="I153" s="3" t="s">
        <v>20</v>
      </c>
      <c r="J153" s="4" t="s">
        <v>391</v>
      </c>
      <c r="K153" s="5" t="s">
        <v>22</v>
      </c>
      <c r="L153" s="6" t="s">
        <v>23</v>
      </c>
      <c r="M153" s="6" t="s">
        <v>23</v>
      </c>
      <c r="N153" s="6" t="s">
        <v>23</v>
      </c>
      <c r="O153" s="3">
        <f>VALUE(RIGHT(F153,1))</f>
        <v>1</v>
      </c>
    </row>
    <row r="154" ht="34" customHeight="1" spans="1:15" x14ac:dyDescent="0.25">
      <c r="A154" s="3" t="s">
        <v>392</v>
      </c>
      <c r="B154" s="4" t="s">
        <v>388</v>
      </c>
      <c r="C154" s="4" t="s">
        <v>389</v>
      </c>
      <c r="D154" s="3" t="s">
        <v>32</v>
      </c>
      <c r="E154" s="4" t="s">
        <v>393</v>
      </c>
      <c r="F154" s="3" t="s">
        <v>6</v>
      </c>
      <c r="G154" s="3" t="s">
        <v>20</v>
      </c>
      <c r="H154" s="3" t="s">
        <v>20</v>
      </c>
      <c r="I154" s="3" t="s">
        <v>20</v>
      </c>
      <c r="J154" s="4" t="s">
        <v>391</v>
      </c>
      <c r="K154" s="5" t="s">
        <v>22</v>
      </c>
      <c r="L154" s="6" t="s">
        <v>23</v>
      </c>
      <c r="M154" s="6" t="s">
        <v>23</v>
      </c>
      <c r="N154" s="6" t="s">
        <v>23</v>
      </c>
      <c r="O154" s="3">
        <f>VALUE(RIGHT(F154,1))</f>
        <v>1</v>
      </c>
    </row>
    <row r="155" ht="34" customHeight="1" spans="1:15" x14ac:dyDescent="0.25">
      <c r="A155" s="3" t="s">
        <v>394</v>
      </c>
      <c r="B155" s="4" t="s">
        <v>388</v>
      </c>
      <c r="C155" s="4" t="s">
        <v>389</v>
      </c>
      <c r="D155" s="3" t="s">
        <v>32</v>
      </c>
      <c r="E155" s="4" t="s">
        <v>395</v>
      </c>
      <c r="F155" s="3" t="s">
        <v>7</v>
      </c>
      <c r="G155" s="3" t="s">
        <v>23</v>
      </c>
      <c r="H155" s="3" t="s">
        <v>20</v>
      </c>
      <c r="I155" s="3" t="s">
        <v>20</v>
      </c>
      <c r="J155" s="4" t="s">
        <v>391</v>
      </c>
      <c r="K155" s="5" t="s">
        <v>22</v>
      </c>
      <c r="L155" s="6" t="s">
        <v>23</v>
      </c>
      <c r="M155" s="6" t="s">
        <v>23</v>
      </c>
      <c r="N155" s="6" t="s">
        <v>23</v>
      </c>
      <c r="O155" s="3">
        <f>VALUE(RIGHT(F155,1))</f>
        <v>2</v>
      </c>
    </row>
    <row r="156" ht="34" customHeight="1" spans="1:15" x14ac:dyDescent="0.25">
      <c r="A156" s="3" t="s">
        <v>396</v>
      </c>
      <c r="B156" s="4" t="s">
        <v>388</v>
      </c>
      <c r="C156" s="4" t="s">
        <v>389</v>
      </c>
      <c r="D156" s="3" t="s">
        <v>32</v>
      </c>
      <c r="E156" s="4" t="s">
        <v>397</v>
      </c>
      <c r="F156" s="3" t="s">
        <v>7</v>
      </c>
      <c r="G156" s="3" t="s">
        <v>23</v>
      </c>
      <c r="H156" s="3" t="s">
        <v>20</v>
      </c>
      <c r="I156" s="3" t="s">
        <v>20</v>
      </c>
      <c r="J156" s="4" t="s">
        <v>391</v>
      </c>
      <c r="K156" s="5" t="s">
        <v>22</v>
      </c>
      <c r="L156" s="6" t="s">
        <v>23</v>
      </c>
      <c r="M156" s="6" t="s">
        <v>23</v>
      </c>
      <c r="N156" s="6" t="s">
        <v>23</v>
      </c>
      <c r="O156" s="3">
        <f>VALUE(RIGHT(F156,1))</f>
        <v>2</v>
      </c>
    </row>
    <row r="157" ht="34" customHeight="1" spans="1:15" x14ac:dyDescent="0.25">
      <c r="A157" s="3" t="s">
        <v>398</v>
      </c>
      <c r="B157" s="4" t="s">
        <v>388</v>
      </c>
      <c r="C157" s="4" t="s">
        <v>399</v>
      </c>
      <c r="D157" s="3" t="s">
        <v>62</v>
      </c>
      <c r="E157" s="4" t="s">
        <v>400</v>
      </c>
      <c r="F157" s="3" t="s">
        <v>6</v>
      </c>
      <c r="G157" s="3" t="s">
        <v>20</v>
      </c>
      <c r="H157" s="3" t="s">
        <v>20</v>
      </c>
      <c r="I157" s="3" t="s">
        <v>20</v>
      </c>
      <c r="J157" s="4" t="s">
        <v>401</v>
      </c>
      <c r="K157" s="5" t="s">
        <v>22</v>
      </c>
      <c r="L157" s="6" t="s">
        <v>23</v>
      </c>
      <c r="M157" s="6" t="s">
        <v>23</v>
      </c>
      <c r="N157" s="6" t="s">
        <v>23</v>
      </c>
      <c r="O157" s="3">
        <f>VALUE(RIGHT(F157,1))</f>
        <v>1</v>
      </c>
    </row>
    <row r="158" ht="34" customHeight="1" spans="1:15" x14ac:dyDescent="0.25">
      <c r="A158" s="3" t="s">
        <v>402</v>
      </c>
      <c r="B158" s="4" t="s">
        <v>388</v>
      </c>
      <c r="C158" s="4" t="s">
        <v>399</v>
      </c>
      <c r="D158" s="3" t="s">
        <v>403</v>
      </c>
      <c r="E158" s="4" t="s">
        <v>404</v>
      </c>
      <c r="F158" s="3" t="s">
        <v>7</v>
      </c>
      <c r="G158" s="3" t="s">
        <v>23</v>
      </c>
      <c r="H158" s="3" t="s">
        <v>20</v>
      </c>
      <c r="I158" s="3" t="s">
        <v>20</v>
      </c>
      <c r="J158" s="4" t="s">
        <v>401</v>
      </c>
      <c r="K158" s="5" t="s">
        <v>22</v>
      </c>
      <c r="L158" s="6" t="s">
        <v>23</v>
      </c>
      <c r="M158" s="6" t="s">
        <v>23</v>
      </c>
      <c r="N158" s="6" t="s">
        <v>23</v>
      </c>
      <c r="O158" s="3">
        <f>VALUE(RIGHT(F158,1))</f>
        <v>2</v>
      </c>
    </row>
    <row r="159" ht="34" customHeight="1" spans="1:15" x14ac:dyDescent="0.25">
      <c r="A159" s="3" t="s">
        <v>405</v>
      </c>
      <c r="B159" s="4" t="s">
        <v>388</v>
      </c>
      <c r="C159" s="4" t="s">
        <v>406</v>
      </c>
      <c r="D159" s="3" t="s">
        <v>62</v>
      </c>
      <c r="E159" s="4" t="s">
        <v>407</v>
      </c>
      <c r="F159" s="3" t="s">
        <v>7</v>
      </c>
      <c r="G159" s="3" t="s">
        <v>23</v>
      </c>
      <c r="H159" s="3" t="s">
        <v>20</v>
      </c>
      <c r="I159" s="3" t="s">
        <v>20</v>
      </c>
      <c r="J159" s="4" t="s">
        <v>408</v>
      </c>
      <c r="K159" s="5" t="s">
        <v>22</v>
      </c>
      <c r="L159" s="6" t="s">
        <v>23</v>
      </c>
      <c r="M159" s="6" t="s">
        <v>23</v>
      </c>
      <c r="N159" s="6" t="s">
        <v>23</v>
      </c>
      <c r="O159" s="3">
        <f>VALUE(RIGHT(F159,1))</f>
        <v>2</v>
      </c>
    </row>
    <row r="160" ht="34" customHeight="1" spans="1:15" x14ac:dyDescent="0.25">
      <c r="A160" s="3" t="s">
        <v>409</v>
      </c>
      <c r="B160" s="4" t="s">
        <v>388</v>
      </c>
      <c r="C160" s="4" t="s">
        <v>406</v>
      </c>
      <c r="D160" s="3" t="s">
        <v>62</v>
      </c>
      <c r="E160" s="4" t="s">
        <v>410</v>
      </c>
      <c r="F160" s="3" t="s">
        <v>7</v>
      </c>
      <c r="G160" s="3" t="s">
        <v>23</v>
      </c>
      <c r="H160" s="3" t="s">
        <v>20</v>
      </c>
      <c r="I160" s="3" t="s">
        <v>20</v>
      </c>
      <c r="J160" s="4" t="s">
        <v>408</v>
      </c>
      <c r="K160" s="5" t="s">
        <v>22</v>
      </c>
      <c r="L160" s="6" t="s">
        <v>23</v>
      </c>
      <c r="M160" s="6" t="s">
        <v>23</v>
      </c>
      <c r="N160" s="6" t="s">
        <v>23</v>
      </c>
      <c r="O160" s="3">
        <f>VALUE(RIGHT(F160,1))</f>
        <v>2</v>
      </c>
    </row>
    <row r="161" ht="34" customHeight="1" spans="1:15" x14ac:dyDescent="0.25">
      <c r="A161" s="3" t="s">
        <v>411</v>
      </c>
      <c r="B161" s="4" t="s">
        <v>388</v>
      </c>
      <c r="C161" s="4" t="s">
        <v>412</v>
      </c>
      <c r="D161" s="3" t="s">
        <v>32</v>
      </c>
      <c r="E161" s="4" t="s">
        <v>413</v>
      </c>
      <c r="F161" s="3" t="s">
        <v>6</v>
      </c>
      <c r="G161" s="3" t="s">
        <v>20</v>
      </c>
      <c r="H161" s="3" t="s">
        <v>20</v>
      </c>
      <c r="I161" s="3" t="s">
        <v>20</v>
      </c>
      <c r="J161" s="4" t="s">
        <v>21</v>
      </c>
      <c r="K161" s="5" t="s">
        <v>22</v>
      </c>
      <c r="L161" s="6" t="s">
        <v>23</v>
      </c>
      <c r="M161" s="6" t="s">
        <v>23</v>
      </c>
      <c r="N161" s="6" t="s">
        <v>23</v>
      </c>
      <c r="O161" s="3">
        <f>VALUE(RIGHT(F161,1))</f>
        <v>1</v>
      </c>
    </row>
    <row r="162" ht="34" customHeight="1" spans="1:15" x14ac:dyDescent="0.25">
      <c r="A162" s="3" t="s">
        <v>414</v>
      </c>
      <c r="B162" s="4" t="s">
        <v>388</v>
      </c>
      <c r="C162" s="4" t="s">
        <v>412</v>
      </c>
      <c r="D162" s="3" t="s">
        <v>32</v>
      </c>
      <c r="E162" s="4" t="s">
        <v>415</v>
      </c>
      <c r="F162" s="3" t="s">
        <v>6</v>
      </c>
      <c r="G162" s="3" t="s">
        <v>20</v>
      </c>
      <c r="H162" s="3" t="s">
        <v>20</v>
      </c>
      <c r="I162" s="3" t="s">
        <v>20</v>
      </c>
      <c r="J162" s="4" t="s">
        <v>21</v>
      </c>
      <c r="K162" s="5" t="s">
        <v>22</v>
      </c>
      <c r="L162" s="6" t="s">
        <v>23</v>
      </c>
      <c r="M162" s="6" t="s">
        <v>23</v>
      </c>
      <c r="N162" s="6" t="s">
        <v>23</v>
      </c>
      <c r="O162" s="3">
        <f>VALUE(RIGHT(F162,1))</f>
        <v>1</v>
      </c>
    </row>
    <row r="163" ht="20" customHeight="1" spans="1:15" x14ac:dyDescent="0.25">
      <c r="A163" s="3" t="s">
        <v>416</v>
      </c>
      <c r="B163" s="4" t="s">
        <v>388</v>
      </c>
      <c r="C163" s="4" t="s">
        <v>412</v>
      </c>
      <c r="D163" s="3" t="s">
        <v>32</v>
      </c>
      <c r="E163" s="4" t="s">
        <v>417</v>
      </c>
      <c r="F163" s="3" t="s">
        <v>7</v>
      </c>
      <c r="G163" s="3" t="s">
        <v>23</v>
      </c>
      <c r="H163" s="3" t="s">
        <v>20</v>
      </c>
      <c r="I163" s="3" t="s">
        <v>20</v>
      </c>
      <c r="J163" s="4" t="s">
        <v>21</v>
      </c>
      <c r="K163" s="5" t="s">
        <v>22</v>
      </c>
      <c r="L163" s="6" t="s">
        <v>23</v>
      </c>
      <c r="M163" s="6" t="s">
        <v>23</v>
      </c>
      <c r="N163" s="6" t="s">
        <v>23</v>
      </c>
      <c r="O163" s="3">
        <f>VALUE(RIGHT(F163,1))</f>
        <v>2</v>
      </c>
    </row>
    <row r="164" ht="20" customHeight="1" spans="1:15" x14ac:dyDescent="0.25">
      <c r="A164" s="3" t="s">
        <v>418</v>
      </c>
      <c r="B164" s="4" t="s">
        <v>388</v>
      </c>
      <c r="C164" s="4" t="s">
        <v>419</v>
      </c>
      <c r="D164" s="3" t="s">
        <v>32</v>
      </c>
      <c r="E164" s="4" t="s">
        <v>420</v>
      </c>
      <c r="F164" s="3" t="s">
        <v>7</v>
      </c>
      <c r="G164" s="3" t="s">
        <v>23</v>
      </c>
      <c r="H164" s="3" t="s">
        <v>20</v>
      </c>
      <c r="I164" s="3" t="s">
        <v>20</v>
      </c>
      <c r="J164" s="4" t="s">
        <v>21</v>
      </c>
      <c r="K164" s="5" t="s">
        <v>22</v>
      </c>
      <c r="L164" s="6" t="s">
        <v>23</v>
      </c>
      <c r="M164" s="6" t="s">
        <v>23</v>
      </c>
      <c r="N164" s="6" t="s">
        <v>23</v>
      </c>
      <c r="O164" s="3">
        <f>VALUE(RIGHT(F164,1))</f>
        <v>2</v>
      </c>
    </row>
    <row r="165" ht="20" customHeight="1" spans="1:15" x14ac:dyDescent="0.25">
      <c r="A165" s="3" t="s">
        <v>421</v>
      </c>
      <c r="B165" s="4" t="s">
        <v>388</v>
      </c>
      <c r="C165" s="4" t="s">
        <v>419</v>
      </c>
      <c r="D165" s="3" t="s">
        <v>32</v>
      </c>
      <c r="E165" s="4" t="s">
        <v>422</v>
      </c>
      <c r="F165" s="3" t="s">
        <v>7</v>
      </c>
      <c r="G165" s="3" t="s">
        <v>23</v>
      </c>
      <c r="H165" s="3" t="s">
        <v>20</v>
      </c>
      <c r="I165" s="3" t="s">
        <v>20</v>
      </c>
      <c r="J165" s="4" t="s">
        <v>21</v>
      </c>
      <c r="K165" s="5" t="s">
        <v>22</v>
      </c>
      <c r="L165" s="6" t="s">
        <v>23</v>
      </c>
      <c r="M165" s="6" t="s">
        <v>23</v>
      </c>
      <c r="N165" s="6" t="s">
        <v>23</v>
      </c>
      <c r="O165" s="3">
        <f>VALUE(RIGHT(F165,1))</f>
        <v>2</v>
      </c>
    </row>
    <row r="166" ht="20" customHeight="1" spans="1:15" x14ac:dyDescent="0.25">
      <c r="A166" s="3" t="s">
        <v>423</v>
      </c>
      <c r="B166" s="4" t="s">
        <v>388</v>
      </c>
      <c r="C166" s="4" t="s">
        <v>419</v>
      </c>
      <c r="D166" s="3" t="s">
        <v>32</v>
      </c>
      <c r="E166" s="4" t="s">
        <v>424</v>
      </c>
      <c r="F166" s="3" t="s">
        <v>7</v>
      </c>
      <c r="G166" s="3" t="s">
        <v>23</v>
      </c>
      <c r="H166" s="3" t="s">
        <v>20</v>
      </c>
      <c r="I166" s="3" t="s">
        <v>20</v>
      </c>
      <c r="J166" s="4" t="s">
        <v>21</v>
      </c>
      <c r="K166" s="5" t="s">
        <v>22</v>
      </c>
      <c r="L166" s="6" t="s">
        <v>23</v>
      </c>
      <c r="M166" s="6" t="s">
        <v>23</v>
      </c>
      <c r="N166" s="6" t="s">
        <v>23</v>
      </c>
      <c r="O166" s="3">
        <f>VALUE(RIGHT(F166,1))</f>
        <v>2</v>
      </c>
    </row>
    <row r="167" ht="34" customHeight="1" spans="1:15" x14ac:dyDescent="0.25">
      <c r="A167" s="3" t="s">
        <v>425</v>
      </c>
      <c r="B167" s="4" t="s">
        <v>388</v>
      </c>
      <c r="C167" s="4" t="s">
        <v>419</v>
      </c>
      <c r="D167" s="3" t="s">
        <v>65</v>
      </c>
      <c r="E167" s="4" t="s">
        <v>426</v>
      </c>
      <c r="F167" s="3" t="s">
        <v>6</v>
      </c>
      <c r="G167" s="3" t="s">
        <v>20</v>
      </c>
      <c r="H167" s="3" t="s">
        <v>20</v>
      </c>
      <c r="I167" s="3" t="s">
        <v>20</v>
      </c>
      <c r="J167" s="4" t="s">
        <v>21</v>
      </c>
      <c r="K167" s="5" t="s">
        <v>22</v>
      </c>
      <c r="L167" s="6" t="s">
        <v>23</v>
      </c>
      <c r="M167" s="6" t="s">
        <v>23</v>
      </c>
      <c r="N167" s="6" t="s">
        <v>23</v>
      </c>
      <c r="O167" s="3">
        <f>VALUE(RIGHT(F167,1))</f>
        <v>1</v>
      </c>
    </row>
    <row r="168" ht="34" customHeight="1" spans="1:15" x14ac:dyDescent="0.25">
      <c r="A168" s="3" t="s">
        <v>427</v>
      </c>
      <c r="B168" s="4" t="s">
        <v>388</v>
      </c>
      <c r="C168" s="4" t="s">
        <v>428</v>
      </c>
      <c r="D168" s="3" t="s">
        <v>65</v>
      </c>
      <c r="E168" s="4" t="s">
        <v>429</v>
      </c>
      <c r="F168" s="3" t="s">
        <v>7</v>
      </c>
      <c r="G168" s="3" t="s">
        <v>23</v>
      </c>
      <c r="H168" s="3" t="s">
        <v>20</v>
      </c>
      <c r="I168" s="3" t="s">
        <v>20</v>
      </c>
      <c r="J168" s="4" t="s">
        <v>430</v>
      </c>
      <c r="K168" s="5" t="s">
        <v>22</v>
      </c>
      <c r="L168" s="6" t="s">
        <v>23</v>
      </c>
      <c r="M168" s="6" t="s">
        <v>23</v>
      </c>
      <c r="N168" s="6" t="s">
        <v>23</v>
      </c>
      <c r="O168" s="3">
        <f>VALUE(RIGHT(F168,1))</f>
        <v>2</v>
      </c>
    </row>
    <row r="169" ht="34" customHeight="1" spans="1:15" x14ac:dyDescent="0.25">
      <c r="A169" s="3" t="s">
        <v>431</v>
      </c>
      <c r="B169" s="4" t="s">
        <v>388</v>
      </c>
      <c r="C169" s="4" t="s">
        <v>428</v>
      </c>
      <c r="D169" s="3" t="s">
        <v>62</v>
      </c>
      <c r="E169" s="4" t="s">
        <v>432</v>
      </c>
      <c r="F169" s="3" t="s">
        <v>7</v>
      </c>
      <c r="G169" s="3" t="s">
        <v>23</v>
      </c>
      <c r="H169" s="3" t="s">
        <v>20</v>
      </c>
      <c r="I169" s="3" t="s">
        <v>20</v>
      </c>
      <c r="J169" s="4" t="s">
        <v>430</v>
      </c>
      <c r="K169" s="5" t="s">
        <v>22</v>
      </c>
      <c r="L169" s="6" t="s">
        <v>23</v>
      </c>
      <c r="M169" s="6" t="s">
        <v>23</v>
      </c>
      <c r="N169" s="6" t="s">
        <v>23</v>
      </c>
      <c r="O169" s="3">
        <f>VALUE(RIGHT(F169,1))</f>
        <v>2</v>
      </c>
    </row>
    <row r="170" ht="34" customHeight="1" spans="1:15" x14ac:dyDescent="0.25">
      <c r="A170" s="3" t="s">
        <v>433</v>
      </c>
      <c r="B170" s="4" t="s">
        <v>388</v>
      </c>
      <c r="C170" s="4" t="s">
        <v>428</v>
      </c>
      <c r="D170" s="3" t="s">
        <v>65</v>
      </c>
      <c r="E170" s="4" t="s">
        <v>434</v>
      </c>
      <c r="F170" s="3" t="s">
        <v>7</v>
      </c>
      <c r="G170" s="3" t="s">
        <v>23</v>
      </c>
      <c r="H170" s="3" t="s">
        <v>20</v>
      </c>
      <c r="I170" s="3" t="s">
        <v>20</v>
      </c>
      <c r="J170" s="4" t="s">
        <v>430</v>
      </c>
      <c r="K170" s="5" t="s">
        <v>22</v>
      </c>
      <c r="L170" s="6" t="s">
        <v>23</v>
      </c>
      <c r="M170" s="6" t="s">
        <v>23</v>
      </c>
      <c r="N170" s="6" t="s">
        <v>23</v>
      </c>
      <c r="O170" s="3">
        <f>VALUE(RIGHT(F170,1))</f>
        <v>2</v>
      </c>
    </row>
    <row r="171" ht="34" customHeight="1" spans="1:15" x14ac:dyDescent="0.25">
      <c r="A171" s="3" t="s">
        <v>435</v>
      </c>
      <c r="B171" s="4" t="s">
        <v>436</v>
      </c>
      <c r="C171" s="4" t="s">
        <v>437</v>
      </c>
      <c r="D171" s="3" t="s">
        <v>403</v>
      </c>
      <c r="E171" s="4" t="s">
        <v>438</v>
      </c>
      <c r="F171" s="3" t="s">
        <v>6</v>
      </c>
      <c r="G171" s="3" t="s">
        <v>20</v>
      </c>
      <c r="H171" s="3" t="s">
        <v>20</v>
      </c>
      <c r="I171" s="3" t="s">
        <v>20</v>
      </c>
      <c r="J171" s="4" t="s">
        <v>439</v>
      </c>
      <c r="K171" s="5" t="s">
        <v>22</v>
      </c>
      <c r="L171" s="6" t="s">
        <v>23</v>
      </c>
      <c r="M171" s="6" t="s">
        <v>23</v>
      </c>
      <c r="N171" s="6" t="s">
        <v>23</v>
      </c>
      <c r="O171" s="3">
        <f>VALUE(RIGHT(F171,1))</f>
        <v>1</v>
      </c>
    </row>
    <row r="172" ht="34" customHeight="1" spans="1:15" x14ac:dyDescent="0.25">
      <c r="A172" s="3" t="s">
        <v>440</v>
      </c>
      <c r="B172" s="4" t="s">
        <v>436</v>
      </c>
      <c r="C172" s="4" t="s">
        <v>437</v>
      </c>
      <c r="D172" s="3" t="s">
        <v>403</v>
      </c>
      <c r="E172" s="4" t="s">
        <v>441</v>
      </c>
      <c r="F172" s="3" t="s">
        <v>6</v>
      </c>
      <c r="G172" s="3" t="s">
        <v>20</v>
      </c>
      <c r="H172" s="3" t="s">
        <v>20</v>
      </c>
      <c r="I172" s="3" t="s">
        <v>20</v>
      </c>
      <c r="J172" s="4" t="s">
        <v>439</v>
      </c>
      <c r="K172" s="5" t="s">
        <v>22</v>
      </c>
      <c r="L172" s="6" t="s">
        <v>23</v>
      </c>
      <c r="M172" s="6" t="s">
        <v>23</v>
      </c>
      <c r="N172" s="6" t="s">
        <v>23</v>
      </c>
      <c r="O172" s="3">
        <f>VALUE(RIGHT(F172,1))</f>
        <v>1</v>
      </c>
    </row>
    <row r="173" ht="34" customHeight="1" spans="1:15" x14ac:dyDescent="0.25">
      <c r="A173" s="3" t="s">
        <v>442</v>
      </c>
      <c r="B173" s="4" t="s">
        <v>436</v>
      </c>
      <c r="C173" s="4" t="s">
        <v>437</v>
      </c>
      <c r="D173" s="3" t="s">
        <v>403</v>
      </c>
      <c r="E173" s="4" t="s">
        <v>443</v>
      </c>
      <c r="F173" s="3" t="s">
        <v>7</v>
      </c>
      <c r="G173" s="3" t="s">
        <v>23</v>
      </c>
      <c r="H173" s="3" t="s">
        <v>20</v>
      </c>
      <c r="I173" s="3" t="s">
        <v>20</v>
      </c>
      <c r="J173" s="4" t="s">
        <v>439</v>
      </c>
      <c r="K173" s="5" t="s">
        <v>22</v>
      </c>
      <c r="L173" s="6" t="s">
        <v>23</v>
      </c>
      <c r="M173" s="6" t="s">
        <v>23</v>
      </c>
      <c r="N173" s="6" t="s">
        <v>23</v>
      </c>
      <c r="O173" s="3">
        <f>VALUE(RIGHT(F173,1))</f>
        <v>2</v>
      </c>
    </row>
    <row r="174" ht="34" customHeight="1" spans="1:15" x14ac:dyDescent="0.25">
      <c r="A174" s="3" t="s">
        <v>444</v>
      </c>
      <c r="B174" s="4" t="s">
        <v>436</v>
      </c>
      <c r="C174" s="4" t="s">
        <v>445</v>
      </c>
      <c r="D174" s="3" t="s">
        <v>65</v>
      </c>
      <c r="E174" s="4" t="s">
        <v>446</v>
      </c>
      <c r="F174" s="3" t="s">
        <v>6</v>
      </c>
      <c r="G174" s="3" t="s">
        <v>20</v>
      </c>
      <c r="H174" s="3" t="s">
        <v>20</v>
      </c>
      <c r="I174" s="3" t="s">
        <v>20</v>
      </c>
      <c r="J174" s="4" t="s">
        <v>447</v>
      </c>
      <c r="K174" s="5" t="s">
        <v>22</v>
      </c>
      <c r="L174" s="6" t="s">
        <v>23</v>
      </c>
      <c r="M174" s="6" t="s">
        <v>23</v>
      </c>
      <c r="N174" s="6" t="s">
        <v>23</v>
      </c>
      <c r="O174" s="3">
        <f>VALUE(RIGHT(F174,1))</f>
        <v>1</v>
      </c>
    </row>
    <row r="175" ht="34" customHeight="1" spans="1:15" x14ac:dyDescent="0.25">
      <c r="A175" s="3" t="s">
        <v>448</v>
      </c>
      <c r="B175" s="4" t="s">
        <v>436</v>
      </c>
      <c r="C175" s="4" t="s">
        <v>445</v>
      </c>
      <c r="D175" s="3" t="s">
        <v>65</v>
      </c>
      <c r="E175" s="4" t="s">
        <v>449</v>
      </c>
      <c r="F175" s="3" t="s">
        <v>6</v>
      </c>
      <c r="G175" s="3" t="s">
        <v>20</v>
      </c>
      <c r="H175" s="3" t="s">
        <v>20</v>
      </c>
      <c r="I175" s="3" t="s">
        <v>20</v>
      </c>
      <c r="J175" s="4" t="s">
        <v>447</v>
      </c>
      <c r="K175" s="5" t="s">
        <v>22</v>
      </c>
      <c r="L175" s="6" t="s">
        <v>23</v>
      </c>
      <c r="M175" s="6" t="s">
        <v>23</v>
      </c>
      <c r="N175" s="6" t="s">
        <v>23</v>
      </c>
      <c r="O175" s="3">
        <f>VALUE(RIGHT(F175,1))</f>
        <v>1</v>
      </c>
    </row>
    <row r="176" ht="34" customHeight="1" spans="1:15" x14ac:dyDescent="0.25">
      <c r="A176" s="3" t="s">
        <v>450</v>
      </c>
      <c r="B176" s="4" t="s">
        <v>436</v>
      </c>
      <c r="C176" s="4" t="s">
        <v>445</v>
      </c>
      <c r="D176" s="3" t="s">
        <v>65</v>
      </c>
      <c r="E176" s="4" t="s">
        <v>451</v>
      </c>
      <c r="F176" s="3" t="s">
        <v>7</v>
      </c>
      <c r="G176" s="3" t="s">
        <v>23</v>
      </c>
      <c r="H176" s="3" t="s">
        <v>20</v>
      </c>
      <c r="I176" s="3" t="s">
        <v>20</v>
      </c>
      <c r="J176" s="4" t="s">
        <v>447</v>
      </c>
      <c r="K176" s="5" t="s">
        <v>22</v>
      </c>
      <c r="L176" s="6" t="s">
        <v>23</v>
      </c>
      <c r="M176" s="6" t="s">
        <v>23</v>
      </c>
      <c r="N176" s="6" t="s">
        <v>23</v>
      </c>
      <c r="O176" s="3">
        <f>VALUE(RIGHT(F176,1))</f>
        <v>2</v>
      </c>
    </row>
    <row r="177" ht="34" customHeight="1" spans="1:15" x14ac:dyDescent="0.25">
      <c r="A177" s="3" t="s">
        <v>452</v>
      </c>
      <c r="B177" s="4" t="s">
        <v>436</v>
      </c>
      <c r="C177" s="4" t="s">
        <v>453</v>
      </c>
      <c r="D177" s="3" t="s">
        <v>403</v>
      </c>
      <c r="E177" s="4" t="s">
        <v>454</v>
      </c>
      <c r="F177" s="3" t="s">
        <v>7</v>
      </c>
      <c r="G177" s="3" t="s">
        <v>23</v>
      </c>
      <c r="H177" s="3" t="s">
        <v>20</v>
      </c>
      <c r="I177" s="3" t="s">
        <v>20</v>
      </c>
      <c r="J177" s="4" t="s">
        <v>455</v>
      </c>
      <c r="K177" s="5" t="s">
        <v>22</v>
      </c>
      <c r="L177" s="6" t="s">
        <v>23</v>
      </c>
      <c r="M177" s="6" t="s">
        <v>23</v>
      </c>
      <c r="N177" s="6" t="s">
        <v>23</v>
      </c>
      <c r="O177" s="3">
        <f>VALUE(RIGHT(F177,1))</f>
        <v>2</v>
      </c>
    </row>
    <row r="178" ht="34" customHeight="1" spans="1:15" x14ac:dyDescent="0.25">
      <c r="A178" s="3" t="s">
        <v>456</v>
      </c>
      <c r="B178" s="4" t="s">
        <v>436</v>
      </c>
      <c r="C178" s="4" t="s">
        <v>453</v>
      </c>
      <c r="D178" s="3" t="s">
        <v>403</v>
      </c>
      <c r="E178" s="4" t="s">
        <v>457</v>
      </c>
      <c r="F178" s="3" t="s">
        <v>6</v>
      </c>
      <c r="G178" s="3" t="s">
        <v>20</v>
      </c>
      <c r="H178" s="3" t="s">
        <v>20</v>
      </c>
      <c r="I178" s="3" t="s">
        <v>20</v>
      </c>
      <c r="J178" s="4" t="s">
        <v>455</v>
      </c>
      <c r="K178" s="5" t="s">
        <v>22</v>
      </c>
      <c r="L178" s="6" t="s">
        <v>23</v>
      </c>
      <c r="M178" s="6" t="s">
        <v>23</v>
      </c>
      <c r="N178" s="6" t="s">
        <v>23</v>
      </c>
      <c r="O178" s="3">
        <f>VALUE(RIGHT(F178,1))</f>
        <v>1</v>
      </c>
    </row>
    <row r="179" ht="34" customHeight="1" spans="1:15" x14ac:dyDescent="0.25">
      <c r="A179" s="3" t="s">
        <v>458</v>
      </c>
      <c r="B179" s="4" t="s">
        <v>436</v>
      </c>
      <c r="C179" s="4" t="s">
        <v>453</v>
      </c>
      <c r="D179" s="3" t="s">
        <v>403</v>
      </c>
      <c r="E179" s="4" t="s">
        <v>459</v>
      </c>
      <c r="F179" s="3" t="s">
        <v>7</v>
      </c>
      <c r="G179" s="3" t="s">
        <v>23</v>
      </c>
      <c r="H179" s="3" t="s">
        <v>20</v>
      </c>
      <c r="I179" s="3" t="s">
        <v>20</v>
      </c>
      <c r="J179" s="4" t="s">
        <v>455</v>
      </c>
      <c r="K179" s="5" t="s">
        <v>22</v>
      </c>
      <c r="L179" s="6" t="s">
        <v>23</v>
      </c>
      <c r="M179" s="6" t="s">
        <v>23</v>
      </c>
      <c r="N179" s="6" t="s">
        <v>23</v>
      </c>
      <c r="O179" s="3">
        <f>VALUE(RIGHT(F179,1))</f>
        <v>2</v>
      </c>
    </row>
    <row r="180" ht="34" customHeight="1" spans="1:15" x14ac:dyDescent="0.25">
      <c r="A180" s="3" t="s">
        <v>460</v>
      </c>
      <c r="B180" s="4" t="s">
        <v>436</v>
      </c>
      <c r="C180" s="4" t="s">
        <v>461</v>
      </c>
      <c r="D180" s="3" t="s">
        <v>403</v>
      </c>
      <c r="E180" s="4" t="s">
        <v>462</v>
      </c>
      <c r="F180" s="3" t="s">
        <v>7</v>
      </c>
      <c r="G180" s="3" t="s">
        <v>23</v>
      </c>
      <c r="H180" s="3" t="s">
        <v>20</v>
      </c>
      <c r="I180" s="3" t="s">
        <v>20</v>
      </c>
      <c r="J180" s="4" t="s">
        <v>455</v>
      </c>
      <c r="K180" s="5" t="s">
        <v>22</v>
      </c>
      <c r="L180" s="6" t="s">
        <v>23</v>
      </c>
      <c r="M180" s="6" t="s">
        <v>23</v>
      </c>
      <c r="N180" s="6" t="s">
        <v>23</v>
      </c>
      <c r="O180" s="3">
        <f>VALUE(RIGHT(F180,1))</f>
        <v>2</v>
      </c>
    </row>
    <row r="181" ht="34" customHeight="1" spans="1:15" x14ac:dyDescent="0.25">
      <c r="A181" s="3" t="s">
        <v>463</v>
      </c>
      <c r="B181" s="4" t="s">
        <v>436</v>
      </c>
      <c r="C181" s="4" t="s">
        <v>461</v>
      </c>
      <c r="D181" s="3" t="s">
        <v>403</v>
      </c>
      <c r="E181" s="4" t="s">
        <v>464</v>
      </c>
      <c r="F181" s="3" t="s">
        <v>7</v>
      </c>
      <c r="G181" s="3" t="s">
        <v>23</v>
      </c>
      <c r="H181" s="3" t="s">
        <v>20</v>
      </c>
      <c r="I181" s="3" t="s">
        <v>20</v>
      </c>
      <c r="J181" s="4" t="s">
        <v>455</v>
      </c>
      <c r="K181" s="5" t="s">
        <v>22</v>
      </c>
      <c r="L181" s="6" t="s">
        <v>23</v>
      </c>
      <c r="M181" s="6" t="s">
        <v>23</v>
      </c>
      <c r="N181" s="6" t="s">
        <v>23</v>
      </c>
      <c r="O181" s="3">
        <f>VALUE(RIGHT(F181,1))</f>
        <v>2</v>
      </c>
    </row>
    <row r="182" ht="34" customHeight="1" spans="1:15" x14ac:dyDescent="0.25">
      <c r="A182" s="3" t="s">
        <v>465</v>
      </c>
      <c r="B182" s="4" t="s">
        <v>436</v>
      </c>
      <c r="C182" s="4" t="s">
        <v>461</v>
      </c>
      <c r="D182" s="3" t="s">
        <v>62</v>
      </c>
      <c r="E182" s="4" t="s">
        <v>466</v>
      </c>
      <c r="F182" s="3" t="s">
        <v>7</v>
      </c>
      <c r="G182" s="3" t="s">
        <v>23</v>
      </c>
      <c r="H182" s="3" t="s">
        <v>20</v>
      </c>
      <c r="I182" s="3" t="s">
        <v>20</v>
      </c>
      <c r="J182" s="4" t="s">
        <v>455</v>
      </c>
      <c r="K182" s="5" t="s">
        <v>22</v>
      </c>
      <c r="L182" s="6" t="s">
        <v>23</v>
      </c>
      <c r="M182" s="6" t="s">
        <v>23</v>
      </c>
      <c r="N182" s="6" t="s">
        <v>23</v>
      </c>
      <c r="O182" s="3">
        <f>VALUE(RIGHT(F182,1))</f>
        <v>2</v>
      </c>
    </row>
    <row r="183" ht="34" customHeight="1" spans="1:15" x14ac:dyDescent="0.25">
      <c r="A183" s="3" t="s">
        <v>467</v>
      </c>
      <c r="B183" s="4" t="s">
        <v>436</v>
      </c>
      <c r="C183" s="4" t="s">
        <v>461</v>
      </c>
      <c r="D183" s="3" t="s">
        <v>403</v>
      </c>
      <c r="E183" s="4" t="s">
        <v>468</v>
      </c>
      <c r="F183" s="3" t="s">
        <v>7</v>
      </c>
      <c r="G183" s="3" t="s">
        <v>23</v>
      </c>
      <c r="H183" s="3" t="s">
        <v>20</v>
      </c>
      <c r="I183" s="3" t="s">
        <v>20</v>
      </c>
      <c r="J183" s="4" t="s">
        <v>455</v>
      </c>
      <c r="K183" s="5" t="s">
        <v>22</v>
      </c>
      <c r="L183" s="6" t="s">
        <v>23</v>
      </c>
      <c r="M183" s="6" t="s">
        <v>23</v>
      </c>
      <c r="N183" s="6" t="s">
        <v>23</v>
      </c>
      <c r="O183" s="3">
        <f>VALUE(RIGHT(F183,1))</f>
        <v>2</v>
      </c>
    </row>
    <row r="184" ht="34" customHeight="1" spans="1:15" x14ac:dyDescent="0.25">
      <c r="A184" s="3" t="s">
        <v>469</v>
      </c>
      <c r="B184" s="4" t="s">
        <v>436</v>
      </c>
      <c r="C184" s="4" t="s">
        <v>470</v>
      </c>
      <c r="D184" s="3" t="s">
        <v>403</v>
      </c>
      <c r="E184" s="4" t="s">
        <v>471</v>
      </c>
      <c r="F184" s="3" t="s">
        <v>7</v>
      </c>
      <c r="G184" s="3" t="s">
        <v>23</v>
      </c>
      <c r="H184" s="3" t="s">
        <v>20</v>
      </c>
      <c r="I184" s="3" t="s">
        <v>20</v>
      </c>
      <c r="J184" s="4" t="s">
        <v>21</v>
      </c>
      <c r="K184" s="5" t="s">
        <v>22</v>
      </c>
      <c r="L184" s="6" t="s">
        <v>23</v>
      </c>
      <c r="M184" s="6" t="s">
        <v>23</v>
      </c>
      <c r="N184" s="6" t="s">
        <v>23</v>
      </c>
      <c r="O184" s="3">
        <f>VALUE(RIGHT(F184,1))</f>
        <v>2</v>
      </c>
    </row>
    <row r="185" ht="34" customHeight="1" spans="1:15" x14ac:dyDescent="0.25">
      <c r="A185" s="3" t="s">
        <v>472</v>
      </c>
      <c r="B185" s="4" t="s">
        <v>436</v>
      </c>
      <c r="C185" s="4" t="s">
        <v>470</v>
      </c>
      <c r="D185" s="3" t="s">
        <v>403</v>
      </c>
      <c r="E185" s="4" t="s">
        <v>473</v>
      </c>
      <c r="F185" s="3" t="s">
        <v>7</v>
      </c>
      <c r="G185" s="3" t="s">
        <v>23</v>
      </c>
      <c r="H185" s="3" t="s">
        <v>20</v>
      </c>
      <c r="I185" s="3" t="s">
        <v>20</v>
      </c>
      <c r="J185" s="4" t="s">
        <v>21</v>
      </c>
      <c r="K185" s="5" t="s">
        <v>22</v>
      </c>
      <c r="L185" s="6" t="s">
        <v>23</v>
      </c>
      <c r="M185" s="6" t="s">
        <v>23</v>
      </c>
      <c r="N185" s="6" t="s">
        <v>23</v>
      </c>
      <c r="O185" s="3">
        <f>VALUE(RIGHT(F185,1))</f>
        <v>2</v>
      </c>
    </row>
    <row r="186" ht="34" customHeight="1" spans="1:15" x14ac:dyDescent="0.25">
      <c r="A186" s="3" t="s">
        <v>474</v>
      </c>
      <c r="B186" s="4" t="s">
        <v>436</v>
      </c>
      <c r="C186" s="4" t="s">
        <v>470</v>
      </c>
      <c r="D186" s="3" t="s">
        <v>76</v>
      </c>
      <c r="E186" s="4" t="s">
        <v>475</v>
      </c>
      <c r="F186" s="3" t="s">
        <v>8</v>
      </c>
      <c r="G186" s="3" t="s">
        <v>23</v>
      </c>
      <c r="H186" s="3" t="s">
        <v>23</v>
      </c>
      <c r="I186" s="3" t="s">
        <v>20</v>
      </c>
      <c r="J186" s="4" t="s">
        <v>21</v>
      </c>
      <c r="K186" s="5" t="s">
        <v>22</v>
      </c>
      <c r="L186" s="6" t="s">
        <v>23</v>
      </c>
      <c r="M186" s="6" t="s">
        <v>23</v>
      </c>
      <c r="N186" s="6" t="s">
        <v>23</v>
      </c>
      <c r="O186" s="3">
        <f>VALUE(RIGHT(F186,1))</f>
        <v>3</v>
      </c>
    </row>
    <row r="187" ht="34" customHeight="1" spans="1:15" x14ac:dyDescent="0.25">
      <c r="A187" s="3" t="s">
        <v>476</v>
      </c>
      <c r="B187" s="4" t="s">
        <v>436</v>
      </c>
      <c r="C187" s="4" t="s">
        <v>477</v>
      </c>
      <c r="D187" s="3" t="s">
        <v>403</v>
      </c>
      <c r="E187" s="4" t="s">
        <v>478</v>
      </c>
      <c r="F187" s="3" t="s">
        <v>7</v>
      </c>
      <c r="G187" s="3" t="s">
        <v>23</v>
      </c>
      <c r="H187" s="3" t="s">
        <v>20</v>
      </c>
      <c r="I187" s="3" t="s">
        <v>20</v>
      </c>
      <c r="J187" s="4" t="s">
        <v>21</v>
      </c>
      <c r="K187" s="5" t="s">
        <v>22</v>
      </c>
      <c r="L187" s="6" t="s">
        <v>23</v>
      </c>
      <c r="M187" s="6" t="s">
        <v>23</v>
      </c>
      <c r="N187" s="6" t="s">
        <v>23</v>
      </c>
      <c r="O187" s="3">
        <f>VALUE(RIGHT(F187,1))</f>
        <v>2</v>
      </c>
    </row>
    <row r="188" ht="34" customHeight="1" spans="1:15" x14ac:dyDescent="0.25">
      <c r="A188" s="3" t="s">
        <v>479</v>
      </c>
      <c r="B188" s="4" t="s">
        <v>436</v>
      </c>
      <c r="C188" s="4" t="s">
        <v>477</v>
      </c>
      <c r="D188" s="3" t="s">
        <v>32</v>
      </c>
      <c r="E188" s="4" t="s">
        <v>480</v>
      </c>
      <c r="F188" s="3" t="s">
        <v>7</v>
      </c>
      <c r="G188" s="3" t="s">
        <v>23</v>
      </c>
      <c r="H188" s="3" t="s">
        <v>20</v>
      </c>
      <c r="I188" s="3" t="s">
        <v>20</v>
      </c>
      <c r="J188" s="4" t="s">
        <v>21</v>
      </c>
      <c r="K188" s="5" t="s">
        <v>22</v>
      </c>
      <c r="L188" s="6" t="s">
        <v>23</v>
      </c>
      <c r="M188" s="6" t="s">
        <v>23</v>
      </c>
      <c r="N188" s="6" t="s">
        <v>23</v>
      </c>
      <c r="O188" s="3">
        <f>VALUE(RIGHT(F188,1))</f>
        <v>2</v>
      </c>
    </row>
    <row r="189" ht="34" customHeight="1" spans="1:15" x14ac:dyDescent="0.25">
      <c r="A189" s="3" t="s">
        <v>481</v>
      </c>
      <c r="B189" s="4" t="s">
        <v>436</v>
      </c>
      <c r="C189" s="4" t="s">
        <v>477</v>
      </c>
      <c r="D189" s="3" t="s">
        <v>403</v>
      </c>
      <c r="E189" s="4" t="s">
        <v>482</v>
      </c>
      <c r="F189" s="3" t="s">
        <v>7</v>
      </c>
      <c r="G189" s="3" t="s">
        <v>23</v>
      </c>
      <c r="H189" s="3" t="s">
        <v>20</v>
      </c>
      <c r="I189" s="3" t="s">
        <v>20</v>
      </c>
      <c r="J189" s="4" t="s">
        <v>21</v>
      </c>
      <c r="K189" s="5" t="s">
        <v>22</v>
      </c>
      <c r="L189" s="6" t="s">
        <v>23</v>
      </c>
      <c r="M189" s="6" t="s">
        <v>23</v>
      </c>
      <c r="N189" s="6" t="s">
        <v>23</v>
      </c>
      <c r="O189" s="3">
        <f>VALUE(RIGHT(F189,1))</f>
        <v>2</v>
      </c>
    </row>
    <row r="190" ht="34" customHeight="1" spans="1:15" x14ac:dyDescent="0.25">
      <c r="A190" s="3" t="s">
        <v>483</v>
      </c>
      <c r="B190" s="4" t="s">
        <v>436</v>
      </c>
      <c r="C190" s="4" t="s">
        <v>477</v>
      </c>
      <c r="D190" s="3" t="s">
        <v>111</v>
      </c>
      <c r="E190" s="4" t="s">
        <v>484</v>
      </c>
      <c r="F190" s="3" t="s">
        <v>7</v>
      </c>
      <c r="G190" s="3" t="s">
        <v>23</v>
      </c>
      <c r="H190" s="3" t="s">
        <v>20</v>
      </c>
      <c r="I190" s="3" t="s">
        <v>20</v>
      </c>
      <c r="J190" s="4" t="s">
        <v>21</v>
      </c>
      <c r="K190" s="5" t="s">
        <v>22</v>
      </c>
      <c r="L190" s="6" t="s">
        <v>23</v>
      </c>
      <c r="M190" s="6" t="s">
        <v>23</v>
      </c>
      <c r="N190" s="6" t="s">
        <v>23</v>
      </c>
      <c r="O190" s="3">
        <f>VALUE(RIGHT(F190,1))</f>
        <v>2</v>
      </c>
    </row>
    <row r="191" ht="62" customHeight="1" spans="1:15" x14ac:dyDescent="0.25">
      <c r="A191" s="3" t="s">
        <v>485</v>
      </c>
      <c r="B191" s="4" t="s">
        <v>436</v>
      </c>
      <c r="C191" s="4" t="s">
        <v>486</v>
      </c>
      <c r="D191" s="3" t="s">
        <v>62</v>
      </c>
      <c r="E191" s="4" t="s">
        <v>487</v>
      </c>
      <c r="F191" s="3" t="s">
        <v>7</v>
      </c>
      <c r="G191" s="3" t="s">
        <v>23</v>
      </c>
      <c r="H191" s="3" t="s">
        <v>20</v>
      </c>
      <c r="I191" s="3" t="s">
        <v>20</v>
      </c>
      <c r="J191" s="4" t="s">
        <v>488</v>
      </c>
      <c r="K191" s="5" t="s">
        <v>22</v>
      </c>
      <c r="L191" s="6" t="s">
        <v>23</v>
      </c>
      <c r="M191" s="6" t="s">
        <v>23</v>
      </c>
      <c r="N191" s="6" t="s">
        <v>23</v>
      </c>
      <c r="O191" s="3">
        <f>VALUE(RIGHT(F191,1))</f>
        <v>2</v>
      </c>
    </row>
    <row r="192" ht="62" customHeight="1" spans="1:15" x14ac:dyDescent="0.25">
      <c r="A192" s="3" t="s">
        <v>489</v>
      </c>
      <c r="B192" s="4" t="s">
        <v>436</v>
      </c>
      <c r="C192" s="4" t="s">
        <v>486</v>
      </c>
      <c r="D192" s="3" t="s">
        <v>62</v>
      </c>
      <c r="E192" s="4" t="s">
        <v>490</v>
      </c>
      <c r="F192" s="3" t="s">
        <v>7</v>
      </c>
      <c r="G192" s="3" t="s">
        <v>23</v>
      </c>
      <c r="H192" s="3" t="s">
        <v>20</v>
      </c>
      <c r="I192" s="3" t="s">
        <v>20</v>
      </c>
      <c r="J192" s="4" t="s">
        <v>488</v>
      </c>
      <c r="K192" s="5" t="s">
        <v>22</v>
      </c>
      <c r="L192" s="6" t="s">
        <v>23</v>
      </c>
      <c r="M192" s="6" t="s">
        <v>23</v>
      </c>
      <c r="N192" s="6" t="s">
        <v>23</v>
      </c>
      <c r="O192" s="3">
        <f>VALUE(RIGHT(F192,1))</f>
        <v>2</v>
      </c>
    </row>
    <row r="193" ht="34" customHeight="1" spans="1:15" x14ac:dyDescent="0.25">
      <c r="A193" s="3" t="s">
        <v>491</v>
      </c>
      <c r="B193" s="4" t="s">
        <v>492</v>
      </c>
      <c r="C193" s="4" t="s">
        <v>493</v>
      </c>
      <c r="D193" s="3" t="s">
        <v>111</v>
      </c>
      <c r="E193" s="4" t="s">
        <v>494</v>
      </c>
      <c r="F193" s="3" t="s">
        <v>7</v>
      </c>
      <c r="G193" s="3" t="s">
        <v>23</v>
      </c>
      <c r="H193" s="3" t="s">
        <v>20</v>
      </c>
      <c r="I193" s="3" t="s">
        <v>20</v>
      </c>
      <c r="J193" s="4" t="s">
        <v>21</v>
      </c>
      <c r="K193" s="5" t="s">
        <v>22</v>
      </c>
      <c r="L193" s="6" t="s">
        <v>23</v>
      </c>
      <c r="M193" s="6" t="s">
        <v>23</v>
      </c>
      <c r="N193" s="6" t="s">
        <v>23</v>
      </c>
      <c r="O193" s="3">
        <f>VALUE(RIGHT(F193,1))</f>
        <v>2</v>
      </c>
    </row>
    <row r="194" ht="34" customHeight="1" spans="1:15" x14ac:dyDescent="0.25">
      <c r="A194" s="3" t="s">
        <v>495</v>
      </c>
      <c r="B194" s="4" t="s">
        <v>492</v>
      </c>
      <c r="C194" s="4" t="s">
        <v>493</v>
      </c>
      <c r="D194" s="3" t="s">
        <v>111</v>
      </c>
      <c r="E194" s="4" t="s">
        <v>496</v>
      </c>
      <c r="F194" s="3" t="s">
        <v>6</v>
      </c>
      <c r="G194" s="3" t="s">
        <v>20</v>
      </c>
      <c r="H194" s="3" t="s">
        <v>20</v>
      </c>
      <c r="I194" s="3" t="s">
        <v>20</v>
      </c>
      <c r="J194" s="4" t="s">
        <v>21</v>
      </c>
      <c r="K194" s="5" t="s">
        <v>22</v>
      </c>
      <c r="L194" s="6" t="s">
        <v>23</v>
      </c>
      <c r="M194" s="6" t="s">
        <v>23</v>
      </c>
      <c r="N194" s="6" t="s">
        <v>23</v>
      </c>
      <c r="O194" s="3">
        <f>VALUE(RIGHT(F194,1))</f>
        <v>1</v>
      </c>
    </row>
    <row r="195" ht="34" customHeight="1" spans="1:15" x14ac:dyDescent="0.25">
      <c r="A195" s="3" t="s">
        <v>497</v>
      </c>
      <c r="B195" s="4" t="s">
        <v>492</v>
      </c>
      <c r="C195" s="4" t="s">
        <v>493</v>
      </c>
      <c r="D195" s="3" t="s">
        <v>111</v>
      </c>
      <c r="E195" s="4" t="s">
        <v>498</v>
      </c>
      <c r="F195" s="3" t="s">
        <v>6</v>
      </c>
      <c r="G195" s="3" t="s">
        <v>20</v>
      </c>
      <c r="H195" s="3" t="s">
        <v>20</v>
      </c>
      <c r="I195" s="3" t="s">
        <v>20</v>
      </c>
      <c r="J195" s="4" t="s">
        <v>21</v>
      </c>
      <c r="K195" s="5" t="s">
        <v>22</v>
      </c>
      <c r="L195" s="6" t="s">
        <v>23</v>
      </c>
      <c r="M195" s="6" t="s">
        <v>23</v>
      </c>
      <c r="N195" s="6" t="s">
        <v>23</v>
      </c>
      <c r="O195" s="3">
        <f>VALUE(RIGHT(F195,1))</f>
        <v>1</v>
      </c>
    </row>
    <row r="196" ht="34" customHeight="1" spans="1:15" x14ac:dyDescent="0.25">
      <c r="A196" s="3" t="s">
        <v>499</v>
      </c>
      <c r="B196" s="4" t="s">
        <v>492</v>
      </c>
      <c r="C196" s="4" t="s">
        <v>493</v>
      </c>
      <c r="D196" s="3" t="s">
        <v>111</v>
      </c>
      <c r="E196" s="4" t="s">
        <v>500</v>
      </c>
      <c r="F196" s="3" t="s">
        <v>7</v>
      </c>
      <c r="G196" s="3" t="s">
        <v>23</v>
      </c>
      <c r="H196" s="3" t="s">
        <v>20</v>
      </c>
      <c r="I196" s="3" t="s">
        <v>20</v>
      </c>
      <c r="J196" s="4" t="s">
        <v>21</v>
      </c>
      <c r="K196" s="5" t="s">
        <v>22</v>
      </c>
      <c r="L196" s="6" t="s">
        <v>23</v>
      </c>
      <c r="M196" s="6" t="s">
        <v>23</v>
      </c>
      <c r="N196" s="6" t="s">
        <v>23</v>
      </c>
      <c r="O196" s="3">
        <f>VALUE(RIGHT(F196,1))</f>
        <v>2</v>
      </c>
    </row>
    <row r="197" ht="34" customHeight="1" spans="1:15" x14ac:dyDescent="0.25">
      <c r="A197" s="3" t="s">
        <v>501</v>
      </c>
      <c r="B197" s="4" t="s">
        <v>492</v>
      </c>
      <c r="C197" s="4" t="s">
        <v>502</v>
      </c>
      <c r="D197" s="3" t="s">
        <v>111</v>
      </c>
      <c r="E197" s="4" t="s">
        <v>503</v>
      </c>
      <c r="F197" s="3" t="s">
        <v>6</v>
      </c>
      <c r="G197" s="3" t="s">
        <v>20</v>
      </c>
      <c r="H197" s="3" t="s">
        <v>20</v>
      </c>
      <c r="I197" s="3" t="s">
        <v>20</v>
      </c>
      <c r="J197" s="4" t="s">
        <v>21</v>
      </c>
      <c r="K197" s="5" t="s">
        <v>22</v>
      </c>
      <c r="L197" s="6" t="s">
        <v>23</v>
      </c>
      <c r="M197" s="6" t="s">
        <v>23</v>
      </c>
      <c r="N197" s="6" t="s">
        <v>23</v>
      </c>
      <c r="O197" s="3">
        <f>VALUE(RIGHT(F197,1))</f>
        <v>1</v>
      </c>
    </row>
    <row r="198" ht="34" customHeight="1" spans="1:15" x14ac:dyDescent="0.25">
      <c r="A198" s="3" t="s">
        <v>504</v>
      </c>
      <c r="B198" s="4" t="s">
        <v>492</v>
      </c>
      <c r="C198" s="4" t="s">
        <v>502</v>
      </c>
      <c r="D198" s="3" t="s">
        <v>111</v>
      </c>
      <c r="E198" s="4" t="s">
        <v>505</v>
      </c>
      <c r="F198" s="3" t="s">
        <v>7</v>
      </c>
      <c r="G198" s="3" t="s">
        <v>23</v>
      </c>
      <c r="H198" s="3" t="s">
        <v>20</v>
      </c>
      <c r="I198" s="3" t="s">
        <v>20</v>
      </c>
      <c r="J198" s="4" t="s">
        <v>21</v>
      </c>
      <c r="K198" s="5" t="s">
        <v>22</v>
      </c>
      <c r="L198" s="6" t="s">
        <v>23</v>
      </c>
      <c r="M198" s="6" t="s">
        <v>23</v>
      </c>
      <c r="N198" s="6" t="s">
        <v>23</v>
      </c>
      <c r="O198" s="3">
        <f>VALUE(RIGHT(F198,1))</f>
        <v>2</v>
      </c>
    </row>
    <row r="199" ht="34" customHeight="1" spans="1:15" x14ac:dyDescent="0.25">
      <c r="A199" s="3" t="s">
        <v>506</v>
      </c>
      <c r="B199" s="4" t="s">
        <v>492</v>
      </c>
      <c r="C199" s="4" t="s">
        <v>502</v>
      </c>
      <c r="D199" s="3" t="s">
        <v>79</v>
      </c>
      <c r="E199" s="4" t="s">
        <v>507</v>
      </c>
      <c r="F199" s="3" t="s">
        <v>7</v>
      </c>
      <c r="G199" s="3" t="s">
        <v>23</v>
      </c>
      <c r="H199" s="3" t="s">
        <v>20</v>
      </c>
      <c r="I199" s="3" t="s">
        <v>20</v>
      </c>
      <c r="J199" s="4" t="s">
        <v>21</v>
      </c>
      <c r="K199" s="5" t="s">
        <v>22</v>
      </c>
      <c r="L199" s="6" t="s">
        <v>23</v>
      </c>
      <c r="M199" s="6" t="s">
        <v>23</v>
      </c>
      <c r="N199" s="6" t="s">
        <v>23</v>
      </c>
      <c r="O199" s="3">
        <f>VALUE(RIGHT(F199,1))</f>
        <v>2</v>
      </c>
    </row>
    <row r="200" ht="34" customHeight="1" spans="1:15" x14ac:dyDescent="0.25">
      <c r="A200" s="3" t="s">
        <v>508</v>
      </c>
      <c r="B200" s="4" t="s">
        <v>492</v>
      </c>
      <c r="C200" s="4" t="s">
        <v>509</v>
      </c>
      <c r="D200" s="3" t="s">
        <v>111</v>
      </c>
      <c r="E200" s="4" t="s">
        <v>510</v>
      </c>
      <c r="F200" s="3" t="s">
        <v>7</v>
      </c>
      <c r="G200" s="3" t="s">
        <v>23</v>
      </c>
      <c r="H200" s="3" t="s">
        <v>20</v>
      </c>
      <c r="I200" s="3" t="s">
        <v>20</v>
      </c>
      <c r="J200" s="4" t="s">
        <v>21</v>
      </c>
      <c r="K200" s="5" t="s">
        <v>22</v>
      </c>
      <c r="L200" s="6" t="s">
        <v>23</v>
      </c>
      <c r="M200" s="6" t="s">
        <v>23</v>
      </c>
      <c r="N200" s="6" t="s">
        <v>23</v>
      </c>
      <c r="O200" s="3">
        <f>VALUE(RIGHT(F200,1))</f>
        <v>2</v>
      </c>
    </row>
    <row r="201" ht="34" customHeight="1" spans="1:15" x14ac:dyDescent="0.25">
      <c r="A201" s="3" t="s">
        <v>511</v>
      </c>
      <c r="B201" s="4" t="s">
        <v>492</v>
      </c>
      <c r="C201" s="4" t="s">
        <v>509</v>
      </c>
      <c r="D201" s="3" t="s">
        <v>111</v>
      </c>
      <c r="E201" s="4" t="s">
        <v>512</v>
      </c>
      <c r="F201" s="3" t="s">
        <v>7</v>
      </c>
      <c r="G201" s="3" t="s">
        <v>23</v>
      </c>
      <c r="H201" s="3" t="s">
        <v>20</v>
      </c>
      <c r="I201" s="3" t="s">
        <v>20</v>
      </c>
      <c r="J201" s="4" t="s">
        <v>21</v>
      </c>
      <c r="K201" s="5" t="s">
        <v>22</v>
      </c>
      <c r="L201" s="6" t="s">
        <v>23</v>
      </c>
      <c r="M201" s="6" t="s">
        <v>23</v>
      </c>
      <c r="N201" s="6" t="s">
        <v>23</v>
      </c>
      <c r="O201" s="3">
        <f>VALUE(RIGHT(F201,1))</f>
        <v>2</v>
      </c>
    </row>
    <row r="202" ht="34" customHeight="1" spans="1:15" x14ac:dyDescent="0.25">
      <c r="A202" s="3" t="s">
        <v>513</v>
      </c>
      <c r="B202" s="4" t="s">
        <v>492</v>
      </c>
      <c r="C202" s="4" t="s">
        <v>509</v>
      </c>
      <c r="D202" s="3" t="s">
        <v>111</v>
      </c>
      <c r="E202" s="4" t="s">
        <v>514</v>
      </c>
      <c r="F202" s="3" t="s">
        <v>7</v>
      </c>
      <c r="G202" s="3" t="s">
        <v>23</v>
      </c>
      <c r="H202" s="3" t="s">
        <v>20</v>
      </c>
      <c r="I202" s="3" t="s">
        <v>20</v>
      </c>
      <c r="J202" s="4" t="s">
        <v>21</v>
      </c>
      <c r="K202" s="5" t="s">
        <v>22</v>
      </c>
      <c r="L202" s="6" t="s">
        <v>23</v>
      </c>
      <c r="M202" s="6" t="s">
        <v>23</v>
      </c>
      <c r="N202" s="6" t="s">
        <v>23</v>
      </c>
      <c r="O202" s="3">
        <f>VALUE(RIGHT(F202,1))</f>
        <v>2</v>
      </c>
    </row>
    <row r="203" ht="34" customHeight="1" spans="1:15" x14ac:dyDescent="0.25">
      <c r="A203" s="3" t="s">
        <v>515</v>
      </c>
      <c r="B203" s="4" t="s">
        <v>492</v>
      </c>
      <c r="C203" s="4" t="s">
        <v>509</v>
      </c>
      <c r="D203" s="3" t="s">
        <v>111</v>
      </c>
      <c r="E203" s="4" t="s">
        <v>516</v>
      </c>
      <c r="F203" s="3" t="s">
        <v>7</v>
      </c>
      <c r="G203" s="3" t="s">
        <v>23</v>
      </c>
      <c r="H203" s="3" t="s">
        <v>20</v>
      </c>
      <c r="I203" s="3" t="s">
        <v>20</v>
      </c>
      <c r="J203" s="4" t="s">
        <v>21</v>
      </c>
      <c r="K203" s="5" t="s">
        <v>22</v>
      </c>
      <c r="L203" s="6" t="s">
        <v>23</v>
      </c>
      <c r="M203" s="6" t="s">
        <v>23</v>
      </c>
      <c r="N203" s="6" t="s">
        <v>23</v>
      </c>
      <c r="O203" s="3">
        <f>VALUE(RIGHT(F203,1))</f>
        <v>2</v>
      </c>
    </row>
    <row r="204" ht="48" customHeight="1" spans="1:15" x14ac:dyDescent="0.25">
      <c r="A204" s="3" t="s">
        <v>517</v>
      </c>
      <c r="B204" s="4" t="s">
        <v>492</v>
      </c>
      <c r="C204" s="4" t="s">
        <v>509</v>
      </c>
      <c r="D204" s="3" t="s">
        <v>111</v>
      </c>
      <c r="E204" s="4" t="s">
        <v>518</v>
      </c>
      <c r="F204" s="3" t="s">
        <v>6</v>
      </c>
      <c r="G204" s="3" t="s">
        <v>20</v>
      </c>
      <c r="H204" s="3" t="s">
        <v>20</v>
      </c>
      <c r="I204" s="3" t="s">
        <v>20</v>
      </c>
      <c r="J204" s="4" t="s">
        <v>21</v>
      </c>
      <c r="K204" s="5" t="s">
        <v>22</v>
      </c>
      <c r="L204" s="6" t="s">
        <v>23</v>
      </c>
      <c r="M204" s="6" t="s">
        <v>23</v>
      </c>
      <c r="N204" s="6" t="s">
        <v>23</v>
      </c>
      <c r="O204" s="3">
        <f>VALUE(RIGHT(F204,1))</f>
        <v>1</v>
      </c>
    </row>
    <row r="205" ht="34" customHeight="1" spans="1:15" x14ac:dyDescent="0.25">
      <c r="A205" s="3" t="s">
        <v>519</v>
      </c>
      <c r="B205" s="4" t="s">
        <v>492</v>
      </c>
      <c r="C205" s="4" t="s">
        <v>509</v>
      </c>
      <c r="D205" s="3" t="s">
        <v>111</v>
      </c>
      <c r="E205" s="4" t="s">
        <v>520</v>
      </c>
      <c r="F205" s="3" t="s">
        <v>7</v>
      </c>
      <c r="G205" s="3" t="s">
        <v>23</v>
      </c>
      <c r="H205" s="3" t="s">
        <v>20</v>
      </c>
      <c r="I205" s="3" t="s">
        <v>20</v>
      </c>
      <c r="J205" s="4" t="s">
        <v>21</v>
      </c>
      <c r="K205" s="5" t="s">
        <v>22</v>
      </c>
      <c r="L205" s="6" t="s">
        <v>23</v>
      </c>
      <c r="M205" s="6" t="s">
        <v>23</v>
      </c>
      <c r="N205" s="6" t="s">
        <v>23</v>
      </c>
      <c r="O205" s="3">
        <f>VALUE(RIGHT(F205,1))</f>
        <v>2</v>
      </c>
    </row>
    <row r="206" ht="34" customHeight="1" spans="1:15" x14ac:dyDescent="0.25">
      <c r="A206" s="3" t="s">
        <v>521</v>
      </c>
      <c r="B206" s="4" t="s">
        <v>492</v>
      </c>
      <c r="C206" s="4" t="s">
        <v>522</v>
      </c>
      <c r="D206" s="3" t="s">
        <v>111</v>
      </c>
      <c r="E206" s="4" t="s">
        <v>523</v>
      </c>
      <c r="F206" s="3" t="s">
        <v>7</v>
      </c>
      <c r="G206" s="3" t="s">
        <v>23</v>
      </c>
      <c r="H206" s="3" t="s">
        <v>20</v>
      </c>
      <c r="I206" s="3" t="s">
        <v>20</v>
      </c>
      <c r="J206" s="4" t="s">
        <v>21</v>
      </c>
      <c r="K206" s="5" t="s">
        <v>22</v>
      </c>
      <c r="L206" s="6" t="s">
        <v>23</v>
      </c>
      <c r="M206" s="6" t="s">
        <v>23</v>
      </c>
      <c r="N206" s="6" t="s">
        <v>23</v>
      </c>
      <c r="O206" s="3">
        <f>VALUE(RIGHT(F206,1))</f>
        <v>2</v>
      </c>
    </row>
    <row r="207" ht="34" customHeight="1" spans="1:15" x14ac:dyDescent="0.25">
      <c r="A207" s="3" t="s">
        <v>524</v>
      </c>
      <c r="B207" s="4" t="s">
        <v>492</v>
      </c>
      <c r="C207" s="4" t="s">
        <v>522</v>
      </c>
      <c r="D207" s="3" t="s">
        <v>111</v>
      </c>
      <c r="E207" s="4" t="s">
        <v>525</v>
      </c>
      <c r="F207" s="3" t="s">
        <v>7</v>
      </c>
      <c r="G207" s="3" t="s">
        <v>23</v>
      </c>
      <c r="H207" s="3" t="s">
        <v>20</v>
      </c>
      <c r="I207" s="3" t="s">
        <v>20</v>
      </c>
      <c r="J207" s="4" t="s">
        <v>21</v>
      </c>
      <c r="K207" s="5" t="s">
        <v>22</v>
      </c>
      <c r="L207" s="6" t="s">
        <v>23</v>
      </c>
      <c r="M207" s="6" t="s">
        <v>23</v>
      </c>
      <c r="N207" s="6" t="s">
        <v>23</v>
      </c>
      <c r="O207" s="3">
        <f>VALUE(RIGHT(F207,1))</f>
        <v>2</v>
      </c>
    </row>
    <row r="208" ht="34" customHeight="1" spans="1:15" x14ac:dyDescent="0.25">
      <c r="A208" s="3" t="s">
        <v>526</v>
      </c>
      <c r="B208" s="4" t="s">
        <v>492</v>
      </c>
      <c r="C208" s="4" t="s">
        <v>522</v>
      </c>
      <c r="D208" s="3" t="s">
        <v>111</v>
      </c>
      <c r="E208" s="4" t="s">
        <v>527</v>
      </c>
      <c r="F208" s="3" t="s">
        <v>7</v>
      </c>
      <c r="G208" s="3" t="s">
        <v>23</v>
      </c>
      <c r="H208" s="3" t="s">
        <v>20</v>
      </c>
      <c r="I208" s="3" t="s">
        <v>20</v>
      </c>
      <c r="J208" s="4" t="s">
        <v>21</v>
      </c>
      <c r="K208" s="5" t="s">
        <v>22</v>
      </c>
      <c r="L208" s="6" t="s">
        <v>23</v>
      </c>
      <c r="M208" s="6" t="s">
        <v>23</v>
      </c>
      <c r="N208" s="6" t="s">
        <v>23</v>
      </c>
      <c r="O208" s="3">
        <f>VALUE(RIGHT(F208,1))</f>
        <v>2</v>
      </c>
    </row>
    <row r="209" ht="34" customHeight="1" spans="1:15" x14ac:dyDescent="0.25">
      <c r="A209" s="3" t="s">
        <v>528</v>
      </c>
      <c r="B209" s="4" t="s">
        <v>492</v>
      </c>
      <c r="C209" s="4" t="s">
        <v>529</v>
      </c>
      <c r="D209" s="3" t="s">
        <v>18</v>
      </c>
      <c r="E209" s="4" t="s">
        <v>530</v>
      </c>
      <c r="F209" s="3" t="s">
        <v>7</v>
      </c>
      <c r="G209" s="3" t="s">
        <v>23</v>
      </c>
      <c r="H209" s="3" t="s">
        <v>20</v>
      </c>
      <c r="I209" s="3" t="s">
        <v>20</v>
      </c>
      <c r="J209" s="4" t="s">
        <v>21</v>
      </c>
      <c r="K209" s="5" t="s">
        <v>22</v>
      </c>
      <c r="L209" s="6" t="s">
        <v>23</v>
      </c>
      <c r="M209" s="6" t="s">
        <v>23</v>
      </c>
      <c r="N209" s="6" t="s">
        <v>23</v>
      </c>
      <c r="O209" s="3">
        <f>VALUE(RIGHT(F209,1))</f>
        <v>2</v>
      </c>
    </row>
    <row r="210" ht="34" customHeight="1" spans="1:15" x14ac:dyDescent="0.25">
      <c r="A210" s="3" t="s">
        <v>531</v>
      </c>
      <c r="B210" s="4" t="s">
        <v>492</v>
      </c>
      <c r="C210" s="4" t="s">
        <v>529</v>
      </c>
      <c r="D210" s="3" t="s">
        <v>111</v>
      </c>
      <c r="E210" s="4" t="s">
        <v>532</v>
      </c>
      <c r="F210" s="3" t="s">
        <v>7</v>
      </c>
      <c r="G210" s="3" t="s">
        <v>23</v>
      </c>
      <c r="H210" s="3" t="s">
        <v>20</v>
      </c>
      <c r="I210" s="3" t="s">
        <v>20</v>
      </c>
      <c r="J210" s="4" t="s">
        <v>21</v>
      </c>
      <c r="K210" s="5" t="s">
        <v>22</v>
      </c>
      <c r="L210" s="6" t="s">
        <v>23</v>
      </c>
      <c r="M210" s="6" t="s">
        <v>23</v>
      </c>
      <c r="N210" s="6" t="s">
        <v>23</v>
      </c>
      <c r="O210" s="3">
        <f>VALUE(RIGHT(F210,1))</f>
        <v>2</v>
      </c>
    </row>
    <row r="211" ht="34" customHeight="1" spans="1:15" x14ac:dyDescent="0.25">
      <c r="A211" s="3" t="s">
        <v>533</v>
      </c>
      <c r="B211" s="4" t="s">
        <v>492</v>
      </c>
      <c r="C211" s="4" t="s">
        <v>529</v>
      </c>
      <c r="D211" s="3" t="s">
        <v>111</v>
      </c>
      <c r="E211" s="4" t="s">
        <v>534</v>
      </c>
      <c r="F211" s="3" t="s">
        <v>8</v>
      </c>
      <c r="G211" s="3" t="s">
        <v>23</v>
      </c>
      <c r="H211" s="3" t="s">
        <v>23</v>
      </c>
      <c r="I211" s="3" t="s">
        <v>20</v>
      </c>
      <c r="J211" s="4" t="s">
        <v>21</v>
      </c>
      <c r="K211" s="5" t="s">
        <v>22</v>
      </c>
      <c r="L211" s="6" t="s">
        <v>23</v>
      </c>
      <c r="M211" s="6" t="s">
        <v>23</v>
      </c>
      <c r="N211" s="6" t="s">
        <v>23</v>
      </c>
      <c r="O211" s="3">
        <f>VALUE(RIGHT(F211,1))</f>
        <v>3</v>
      </c>
    </row>
    <row r="212" ht="34" customHeight="1" spans="1:15" x14ac:dyDescent="0.25">
      <c r="A212" s="3" t="s">
        <v>535</v>
      </c>
      <c r="B212" s="4" t="s">
        <v>492</v>
      </c>
      <c r="C212" s="4" t="s">
        <v>536</v>
      </c>
      <c r="D212" s="3" t="s">
        <v>111</v>
      </c>
      <c r="E212" s="4" t="s">
        <v>537</v>
      </c>
      <c r="F212" s="3" t="s">
        <v>6</v>
      </c>
      <c r="G212" s="3" t="s">
        <v>20</v>
      </c>
      <c r="H212" s="3" t="s">
        <v>20</v>
      </c>
      <c r="I212" s="3" t="s">
        <v>20</v>
      </c>
      <c r="J212" s="4" t="s">
        <v>21</v>
      </c>
      <c r="K212" s="5" t="s">
        <v>22</v>
      </c>
      <c r="L212" s="6" t="s">
        <v>23</v>
      </c>
      <c r="M212" s="6" t="s">
        <v>23</v>
      </c>
      <c r="N212" s="6" t="s">
        <v>23</v>
      </c>
      <c r="O212" s="3">
        <f>VALUE(RIGHT(F212,1))</f>
        <v>1</v>
      </c>
    </row>
    <row r="213" ht="34" customHeight="1" spans="1:15" x14ac:dyDescent="0.25">
      <c r="A213" s="3" t="s">
        <v>538</v>
      </c>
      <c r="B213" s="4" t="s">
        <v>492</v>
      </c>
      <c r="C213" s="4" t="s">
        <v>536</v>
      </c>
      <c r="D213" s="3" t="s">
        <v>76</v>
      </c>
      <c r="E213" s="4" t="s">
        <v>539</v>
      </c>
      <c r="F213" s="3" t="s">
        <v>6</v>
      </c>
      <c r="G213" s="3" t="s">
        <v>20</v>
      </c>
      <c r="H213" s="3" t="s">
        <v>20</v>
      </c>
      <c r="I213" s="3" t="s">
        <v>20</v>
      </c>
      <c r="J213" s="4" t="s">
        <v>21</v>
      </c>
      <c r="K213" s="5" t="s">
        <v>22</v>
      </c>
      <c r="L213" s="6" t="s">
        <v>23</v>
      </c>
      <c r="M213" s="6" t="s">
        <v>23</v>
      </c>
      <c r="N213" s="6" t="s">
        <v>23</v>
      </c>
      <c r="O213" s="3">
        <f>VALUE(RIGHT(F213,1))</f>
        <v>1</v>
      </c>
    </row>
    <row r="214" ht="34" customHeight="1" spans="1:15" x14ac:dyDescent="0.25">
      <c r="A214" s="3" t="s">
        <v>540</v>
      </c>
      <c r="B214" s="4" t="s">
        <v>492</v>
      </c>
      <c r="C214" s="4" t="s">
        <v>536</v>
      </c>
      <c r="D214" s="3" t="s">
        <v>111</v>
      </c>
      <c r="E214" s="4" t="s">
        <v>541</v>
      </c>
      <c r="F214" s="3" t="s">
        <v>6</v>
      </c>
      <c r="G214" s="3" t="s">
        <v>20</v>
      </c>
      <c r="H214" s="3" t="s">
        <v>20</v>
      </c>
      <c r="I214" s="3" t="s">
        <v>20</v>
      </c>
      <c r="J214" s="4" t="s">
        <v>21</v>
      </c>
      <c r="K214" s="5" t="s">
        <v>22</v>
      </c>
      <c r="L214" s="6" t="s">
        <v>23</v>
      </c>
      <c r="M214" s="6" t="s">
        <v>23</v>
      </c>
      <c r="N214" s="6" t="s">
        <v>23</v>
      </c>
      <c r="O214" s="3">
        <f>VALUE(RIGHT(F214,1))</f>
        <v>1</v>
      </c>
    </row>
    <row r="215" ht="34" customHeight="1" spans="1:15" x14ac:dyDescent="0.25">
      <c r="A215" s="3" t="s">
        <v>542</v>
      </c>
      <c r="B215" s="4" t="s">
        <v>492</v>
      </c>
      <c r="C215" s="4" t="s">
        <v>543</v>
      </c>
      <c r="D215" s="3" t="s">
        <v>111</v>
      </c>
      <c r="E215" s="4" t="s">
        <v>544</v>
      </c>
      <c r="F215" s="3" t="s">
        <v>6</v>
      </c>
      <c r="G215" s="3" t="s">
        <v>20</v>
      </c>
      <c r="H215" s="3" t="s">
        <v>20</v>
      </c>
      <c r="I215" s="3" t="s">
        <v>20</v>
      </c>
      <c r="J215" s="4" t="s">
        <v>21</v>
      </c>
      <c r="K215" s="5" t="s">
        <v>22</v>
      </c>
      <c r="L215" s="6" t="s">
        <v>23</v>
      </c>
      <c r="M215" s="6" t="s">
        <v>23</v>
      </c>
      <c r="N215" s="6" t="s">
        <v>23</v>
      </c>
      <c r="O215" s="3">
        <f>VALUE(RIGHT(F215,1))</f>
        <v>1</v>
      </c>
    </row>
    <row r="216" ht="34" customHeight="1" spans="1:15" x14ac:dyDescent="0.25">
      <c r="A216" s="3" t="s">
        <v>545</v>
      </c>
      <c r="B216" s="4" t="s">
        <v>492</v>
      </c>
      <c r="C216" s="4" t="s">
        <v>543</v>
      </c>
      <c r="D216" s="3" t="s">
        <v>79</v>
      </c>
      <c r="E216" s="4" t="s">
        <v>546</v>
      </c>
      <c r="F216" s="3" t="s">
        <v>6</v>
      </c>
      <c r="G216" s="3" t="s">
        <v>20</v>
      </c>
      <c r="H216" s="3" t="s">
        <v>20</v>
      </c>
      <c r="I216" s="3" t="s">
        <v>20</v>
      </c>
      <c r="J216" s="4" t="s">
        <v>21</v>
      </c>
      <c r="K216" s="5" t="s">
        <v>22</v>
      </c>
      <c r="L216" s="6" t="s">
        <v>23</v>
      </c>
      <c r="M216" s="6" t="s">
        <v>23</v>
      </c>
      <c r="N216" s="6" t="s">
        <v>23</v>
      </c>
      <c r="O216" s="3">
        <f>VALUE(RIGHT(F216,1))</f>
        <v>1</v>
      </c>
    </row>
    <row r="217" ht="34" customHeight="1" spans="1:15" x14ac:dyDescent="0.25">
      <c r="A217" s="3" t="s">
        <v>547</v>
      </c>
      <c r="B217" s="4" t="s">
        <v>492</v>
      </c>
      <c r="C217" s="4" t="s">
        <v>543</v>
      </c>
      <c r="D217" s="3" t="s">
        <v>111</v>
      </c>
      <c r="E217" s="4" t="s">
        <v>548</v>
      </c>
      <c r="F217" s="3" t="s">
        <v>7</v>
      </c>
      <c r="G217" s="3" t="s">
        <v>23</v>
      </c>
      <c r="H217" s="3" t="s">
        <v>20</v>
      </c>
      <c r="I217" s="3" t="s">
        <v>20</v>
      </c>
      <c r="J217" s="4" t="s">
        <v>21</v>
      </c>
      <c r="K217" s="5" t="s">
        <v>22</v>
      </c>
      <c r="L217" s="6" t="s">
        <v>23</v>
      </c>
      <c r="M217" s="6" t="s">
        <v>23</v>
      </c>
      <c r="N217" s="6" t="s">
        <v>23</v>
      </c>
      <c r="O217" s="3">
        <f>VALUE(RIGHT(F217,1))</f>
        <v>2</v>
      </c>
    </row>
    <row r="218" ht="34" customHeight="1" spans="1:15" x14ac:dyDescent="0.25">
      <c r="A218" s="3" t="s">
        <v>549</v>
      </c>
      <c r="B218" s="4" t="s">
        <v>492</v>
      </c>
      <c r="C218" s="4" t="s">
        <v>543</v>
      </c>
      <c r="D218" s="3" t="s">
        <v>111</v>
      </c>
      <c r="E218" s="4" t="s">
        <v>550</v>
      </c>
      <c r="F218" s="3" t="s">
        <v>7</v>
      </c>
      <c r="G218" s="3" t="s">
        <v>23</v>
      </c>
      <c r="H218" s="3" t="s">
        <v>20</v>
      </c>
      <c r="I218" s="3" t="s">
        <v>20</v>
      </c>
      <c r="J218" s="4" t="s">
        <v>21</v>
      </c>
      <c r="K218" s="5" t="s">
        <v>22</v>
      </c>
      <c r="L218" s="6" t="s">
        <v>23</v>
      </c>
      <c r="M218" s="6" t="s">
        <v>23</v>
      </c>
      <c r="N218" s="6" t="s">
        <v>23</v>
      </c>
      <c r="O218" s="3">
        <f>VALUE(RIGHT(F218,1))</f>
        <v>2</v>
      </c>
    </row>
    <row r="219" ht="34" customHeight="1" spans="1:15" x14ac:dyDescent="0.25">
      <c r="A219" s="3" t="s">
        <v>551</v>
      </c>
      <c r="B219" s="4" t="s">
        <v>552</v>
      </c>
      <c r="C219" s="4" t="s">
        <v>553</v>
      </c>
      <c r="D219" s="3" t="s">
        <v>79</v>
      </c>
      <c r="E219" s="4" t="s">
        <v>554</v>
      </c>
      <c r="F219" s="3" t="s">
        <v>6</v>
      </c>
      <c r="G219" s="3" t="s">
        <v>20</v>
      </c>
      <c r="H219" s="3" t="s">
        <v>20</v>
      </c>
      <c r="I219" s="3" t="s">
        <v>20</v>
      </c>
      <c r="J219" s="4" t="s">
        <v>21</v>
      </c>
      <c r="K219" s="5" t="s">
        <v>22</v>
      </c>
      <c r="L219" s="6" t="s">
        <v>23</v>
      </c>
      <c r="M219" s="6" t="s">
        <v>23</v>
      </c>
      <c r="N219" s="6" t="s">
        <v>23</v>
      </c>
      <c r="O219" s="3">
        <f>VALUE(RIGHT(F219,1))</f>
        <v>1</v>
      </c>
    </row>
    <row r="220" ht="34" customHeight="1" spans="1:15" x14ac:dyDescent="0.25">
      <c r="A220" s="3" t="s">
        <v>555</v>
      </c>
      <c r="B220" s="4" t="s">
        <v>552</v>
      </c>
      <c r="C220" s="4" t="s">
        <v>553</v>
      </c>
      <c r="D220" s="3" t="s">
        <v>79</v>
      </c>
      <c r="E220" s="4" t="s">
        <v>556</v>
      </c>
      <c r="F220" s="3" t="s">
        <v>6</v>
      </c>
      <c r="G220" s="3" t="s">
        <v>20</v>
      </c>
      <c r="H220" s="3" t="s">
        <v>20</v>
      </c>
      <c r="I220" s="3" t="s">
        <v>20</v>
      </c>
      <c r="J220" s="4" t="s">
        <v>21</v>
      </c>
      <c r="K220" s="5" t="s">
        <v>22</v>
      </c>
      <c r="L220" s="6" t="s">
        <v>23</v>
      </c>
      <c r="M220" s="6" t="s">
        <v>23</v>
      </c>
      <c r="N220" s="6" t="s">
        <v>23</v>
      </c>
      <c r="O220" s="3">
        <f>VALUE(RIGHT(F220,1))</f>
        <v>1</v>
      </c>
    </row>
    <row r="221" ht="34" customHeight="1" spans="1:15" x14ac:dyDescent="0.25">
      <c r="A221" s="3" t="s">
        <v>557</v>
      </c>
      <c r="B221" s="4" t="s">
        <v>552</v>
      </c>
      <c r="C221" s="4" t="s">
        <v>553</v>
      </c>
      <c r="D221" s="3" t="s">
        <v>79</v>
      </c>
      <c r="E221" s="4" t="s">
        <v>558</v>
      </c>
      <c r="F221" s="3" t="s">
        <v>7</v>
      </c>
      <c r="G221" s="3" t="s">
        <v>23</v>
      </c>
      <c r="H221" s="3" t="s">
        <v>20</v>
      </c>
      <c r="I221" s="3" t="s">
        <v>20</v>
      </c>
      <c r="J221" s="4" t="s">
        <v>21</v>
      </c>
      <c r="K221" s="5" t="s">
        <v>22</v>
      </c>
      <c r="L221" s="6" t="s">
        <v>23</v>
      </c>
      <c r="M221" s="6" t="s">
        <v>23</v>
      </c>
      <c r="N221" s="6" t="s">
        <v>23</v>
      </c>
      <c r="O221" s="3">
        <f>VALUE(RIGHT(F221,1))</f>
        <v>2</v>
      </c>
    </row>
    <row r="222" ht="34" customHeight="1" spans="1:15" x14ac:dyDescent="0.25">
      <c r="A222" s="3" t="s">
        <v>559</v>
      </c>
      <c r="B222" s="4" t="s">
        <v>552</v>
      </c>
      <c r="C222" s="4" t="s">
        <v>553</v>
      </c>
      <c r="D222" s="3" t="s">
        <v>79</v>
      </c>
      <c r="E222" s="4" t="s">
        <v>560</v>
      </c>
      <c r="F222" s="3" t="s">
        <v>7</v>
      </c>
      <c r="G222" s="3" t="s">
        <v>23</v>
      </c>
      <c r="H222" s="3" t="s">
        <v>20</v>
      </c>
      <c r="I222" s="3" t="s">
        <v>20</v>
      </c>
      <c r="J222" s="4" t="s">
        <v>21</v>
      </c>
      <c r="K222" s="5" t="s">
        <v>22</v>
      </c>
      <c r="L222" s="6" t="s">
        <v>23</v>
      </c>
      <c r="M222" s="6" t="s">
        <v>23</v>
      </c>
      <c r="N222" s="6" t="s">
        <v>23</v>
      </c>
      <c r="O222" s="3">
        <f>VALUE(RIGHT(F222,1))</f>
        <v>2</v>
      </c>
    </row>
    <row r="223" ht="34" customHeight="1" spans="1:15" x14ac:dyDescent="0.25">
      <c r="A223" s="3" t="s">
        <v>561</v>
      </c>
      <c r="B223" s="4" t="s">
        <v>552</v>
      </c>
      <c r="C223" s="4" t="s">
        <v>553</v>
      </c>
      <c r="D223" s="3" t="s">
        <v>79</v>
      </c>
      <c r="E223" s="4" t="s">
        <v>562</v>
      </c>
      <c r="F223" s="3" t="s">
        <v>7</v>
      </c>
      <c r="G223" s="3" t="s">
        <v>23</v>
      </c>
      <c r="H223" s="3" t="s">
        <v>20</v>
      </c>
      <c r="I223" s="3" t="s">
        <v>20</v>
      </c>
      <c r="J223" s="4" t="s">
        <v>21</v>
      </c>
      <c r="K223" s="5" t="s">
        <v>22</v>
      </c>
      <c r="L223" s="6" t="s">
        <v>23</v>
      </c>
      <c r="M223" s="6" t="s">
        <v>23</v>
      </c>
      <c r="N223" s="6" t="s">
        <v>23</v>
      </c>
      <c r="O223" s="3">
        <f>VALUE(RIGHT(F223,1))</f>
        <v>2</v>
      </c>
    </row>
    <row r="224" ht="34" customHeight="1" spans="1:15" x14ac:dyDescent="0.25">
      <c r="A224" s="3" t="s">
        <v>563</v>
      </c>
      <c r="B224" s="4" t="s">
        <v>552</v>
      </c>
      <c r="C224" s="4" t="s">
        <v>553</v>
      </c>
      <c r="D224" s="3" t="s">
        <v>79</v>
      </c>
      <c r="E224" s="4" t="s">
        <v>564</v>
      </c>
      <c r="F224" s="3" t="s">
        <v>8</v>
      </c>
      <c r="G224" s="3" t="s">
        <v>23</v>
      </c>
      <c r="H224" s="3" t="s">
        <v>23</v>
      </c>
      <c r="I224" s="3" t="s">
        <v>20</v>
      </c>
      <c r="J224" s="4" t="s">
        <v>21</v>
      </c>
      <c r="K224" s="5" t="s">
        <v>22</v>
      </c>
      <c r="L224" s="6" t="s">
        <v>23</v>
      </c>
      <c r="M224" s="6" t="s">
        <v>23</v>
      </c>
      <c r="N224" s="6" t="s">
        <v>23</v>
      </c>
      <c r="O224" s="3">
        <f>VALUE(RIGHT(F224,1))</f>
        <v>3</v>
      </c>
    </row>
    <row r="225" ht="34" customHeight="1" spans="1:15" x14ac:dyDescent="0.25">
      <c r="A225" s="3" t="s">
        <v>565</v>
      </c>
      <c r="B225" s="4" t="s">
        <v>552</v>
      </c>
      <c r="C225" s="4" t="s">
        <v>566</v>
      </c>
      <c r="D225" s="3" t="s">
        <v>79</v>
      </c>
      <c r="E225" s="4" t="s">
        <v>567</v>
      </c>
      <c r="F225" s="3" t="s">
        <v>6</v>
      </c>
      <c r="G225" s="3" t="s">
        <v>20</v>
      </c>
      <c r="H225" s="3" t="s">
        <v>20</v>
      </c>
      <c r="I225" s="3" t="s">
        <v>20</v>
      </c>
      <c r="J225" s="4" t="s">
        <v>21</v>
      </c>
      <c r="K225" s="5" t="s">
        <v>22</v>
      </c>
      <c r="L225" s="6" t="s">
        <v>23</v>
      </c>
      <c r="M225" s="6" t="s">
        <v>23</v>
      </c>
      <c r="N225" s="6" t="s">
        <v>23</v>
      </c>
      <c r="O225" s="3">
        <f>VALUE(RIGHT(F225,1))</f>
        <v>1</v>
      </c>
    </row>
    <row r="226" ht="34" customHeight="1" spans="1:15" x14ac:dyDescent="0.25">
      <c r="A226" s="3" t="s">
        <v>568</v>
      </c>
      <c r="B226" s="4" t="s">
        <v>552</v>
      </c>
      <c r="C226" s="4" t="s">
        <v>566</v>
      </c>
      <c r="D226" s="3" t="s">
        <v>79</v>
      </c>
      <c r="E226" s="4" t="s">
        <v>569</v>
      </c>
      <c r="F226" s="3" t="s">
        <v>7</v>
      </c>
      <c r="G226" s="3" t="s">
        <v>23</v>
      </c>
      <c r="H226" s="3" t="s">
        <v>20</v>
      </c>
      <c r="I226" s="3" t="s">
        <v>20</v>
      </c>
      <c r="J226" s="4" t="s">
        <v>21</v>
      </c>
      <c r="K226" s="5" t="s">
        <v>22</v>
      </c>
      <c r="L226" s="6" t="s">
        <v>23</v>
      </c>
      <c r="M226" s="6" t="s">
        <v>23</v>
      </c>
      <c r="N226" s="6" t="s">
        <v>23</v>
      </c>
      <c r="O226" s="3">
        <f>VALUE(RIGHT(F226,1))</f>
        <v>2</v>
      </c>
    </row>
    <row r="227" ht="34" customHeight="1" spans="1:15" x14ac:dyDescent="0.25">
      <c r="A227" s="3" t="s">
        <v>570</v>
      </c>
      <c r="B227" s="4" t="s">
        <v>552</v>
      </c>
      <c r="C227" s="4" t="s">
        <v>566</v>
      </c>
      <c r="D227" s="3" t="s">
        <v>79</v>
      </c>
      <c r="E227" s="4" t="s">
        <v>571</v>
      </c>
      <c r="F227" s="3" t="s">
        <v>7</v>
      </c>
      <c r="G227" s="3" t="s">
        <v>23</v>
      </c>
      <c r="H227" s="3" t="s">
        <v>20</v>
      </c>
      <c r="I227" s="3" t="s">
        <v>20</v>
      </c>
      <c r="J227" s="4" t="s">
        <v>21</v>
      </c>
      <c r="K227" s="5" t="s">
        <v>22</v>
      </c>
      <c r="L227" s="6" t="s">
        <v>23</v>
      </c>
      <c r="M227" s="6" t="s">
        <v>23</v>
      </c>
      <c r="N227" s="6" t="s">
        <v>23</v>
      </c>
      <c r="O227" s="3">
        <f>VALUE(RIGHT(F227,1))</f>
        <v>2</v>
      </c>
    </row>
    <row r="228" ht="34" customHeight="1" spans="1:15" x14ac:dyDescent="0.25">
      <c r="A228" s="3" t="s">
        <v>572</v>
      </c>
      <c r="B228" s="4" t="s">
        <v>552</v>
      </c>
      <c r="C228" s="4" t="s">
        <v>566</v>
      </c>
      <c r="D228" s="3" t="s">
        <v>79</v>
      </c>
      <c r="E228" s="4" t="s">
        <v>573</v>
      </c>
      <c r="F228" s="3" t="s">
        <v>7</v>
      </c>
      <c r="G228" s="3" t="s">
        <v>23</v>
      </c>
      <c r="H228" s="3" t="s">
        <v>20</v>
      </c>
      <c r="I228" s="3" t="s">
        <v>20</v>
      </c>
      <c r="J228" s="4" t="s">
        <v>21</v>
      </c>
      <c r="K228" s="5" t="s">
        <v>22</v>
      </c>
      <c r="L228" s="6" t="s">
        <v>23</v>
      </c>
      <c r="M228" s="6" t="s">
        <v>23</v>
      </c>
      <c r="N228" s="6" t="s">
        <v>23</v>
      </c>
      <c r="O228" s="3">
        <f>VALUE(RIGHT(F228,1))</f>
        <v>2</v>
      </c>
    </row>
    <row r="229" ht="34" customHeight="1" spans="1:15" x14ac:dyDescent="0.25">
      <c r="A229" s="3" t="s">
        <v>574</v>
      </c>
      <c r="B229" s="4" t="s">
        <v>552</v>
      </c>
      <c r="C229" s="4" t="s">
        <v>575</v>
      </c>
      <c r="D229" s="3" t="s">
        <v>79</v>
      </c>
      <c r="E229" s="4" t="s">
        <v>576</v>
      </c>
      <c r="F229" s="3" t="s">
        <v>7</v>
      </c>
      <c r="G229" s="3" t="s">
        <v>23</v>
      </c>
      <c r="H229" s="3" t="s">
        <v>20</v>
      </c>
      <c r="I229" s="3" t="s">
        <v>20</v>
      </c>
      <c r="J229" s="4" t="s">
        <v>21</v>
      </c>
      <c r="K229" s="5" t="s">
        <v>22</v>
      </c>
      <c r="L229" s="6" t="s">
        <v>23</v>
      </c>
      <c r="M229" s="6" t="s">
        <v>23</v>
      </c>
      <c r="N229" s="6" t="s">
        <v>23</v>
      </c>
      <c r="O229" s="3">
        <f>VALUE(RIGHT(F229,1))</f>
        <v>2</v>
      </c>
    </row>
    <row r="230" ht="34" customHeight="1" spans="1:15" x14ac:dyDescent="0.25">
      <c r="A230" s="3" t="s">
        <v>577</v>
      </c>
      <c r="B230" s="4" t="s">
        <v>552</v>
      </c>
      <c r="C230" s="4" t="s">
        <v>575</v>
      </c>
      <c r="D230" s="3" t="s">
        <v>79</v>
      </c>
      <c r="E230" s="4" t="s">
        <v>578</v>
      </c>
      <c r="F230" s="3" t="s">
        <v>7</v>
      </c>
      <c r="G230" s="3" t="s">
        <v>23</v>
      </c>
      <c r="H230" s="3" t="s">
        <v>20</v>
      </c>
      <c r="I230" s="3" t="s">
        <v>20</v>
      </c>
      <c r="J230" s="4" t="s">
        <v>21</v>
      </c>
      <c r="K230" s="5" t="s">
        <v>22</v>
      </c>
      <c r="L230" s="6" t="s">
        <v>23</v>
      </c>
      <c r="M230" s="6" t="s">
        <v>23</v>
      </c>
      <c r="N230" s="6" t="s">
        <v>23</v>
      </c>
      <c r="O230" s="3">
        <f>VALUE(RIGHT(F230,1))</f>
        <v>2</v>
      </c>
    </row>
    <row r="231" ht="34" customHeight="1" spans="1:15" x14ac:dyDescent="0.25">
      <c r="A231" s="3" t="s">
        <v>579</v>
      </c>
      <c r="B231" s="4" t="s">
        <v>552</v>
      </c>
      <c r="C231" s="4" t="s">
        <v>575</v>
      </c>
      <c r="D231" s="3" t="s">
        <v>79</v>
      </c>
      <c r="E231" s="4" t="s">
        <v>580</v>
      </c>
      <c r="F231" s="3" t="s">
        <v>8</v>
      </c>
      <c r="G231" s="3" t="s">
        <v>23</v>
      </c>
      <c r="H231" s="3" t="s">
        <v>23</v>
      </c>
      <c r="I231" s="3" t="s">
        <v>20</v>
      </c>
      <c r="J231" s="4" t="s">
        <v>21</v>
      </c>
      <c r="K231" s="5" t="s">
        <v>22</v>
      </c>
      <c r="L231" s="6" t="s">
        <v>23</v>
      </c>
      <c r="M231" s="6" t="s">
        <v>23</v>
      </c>
      <c r="N231" s="6" t="s">
        <v>23</v>
      </c>
      <c r="O231" s="3">
        <f>VALUE(RIGHT(F231,1))</f>
        <v>3</v>
      </c>
    </row>
    <row r="232" ht="34" customHeight="1" spans="1:15" x14ac:dyDescent="0.25">
      <c r="A232" s="3" t="s">
        <v>581</v>
      </c>
      <c r="B232" s="4" t="s">
        <v>552</v>
      </c>
      <c r="C232" s="4" t="s">
        <v>582</v>
      </c>
      <c r="D232" s="3" t="s">
        <v>76</v>
      </c>
      <c r="E232" s="4" t="s">
        <v>583</v>
      </c>
      <c r="F232" s="3" t="s">
        <v>6</v>
      </c>
      <c r="G232" s="3" t="s">
        <v>20</v>
      </c>
      <c r="H232" s="3" t="s">
        <v>20</v>
      </c>
      <c r="I232" s="3" t="s">
        <v>20</v>
      </c>
      <c r="J232" s="4" t="s">
        <v>21</v>
      </c>
      <c r="K232" s="5" t="s">
        <v>22</v>
      </c>
      <c r="L232" s="6" t="s">
        <v>23</v>
      </c>
      <c r="M232" s="6" t="s">
        <v>23</v>
      </c>
      <c r="N232" s="6" t="s">
        <v>23</v>
      </c>
      <c r="O232" s="3">
        <f>VALUE(RIGHT(F232,1))</f>
        <v>1</v>
      </c>
    </row>
    <row r="233" ht="34" customHeight="1" spans="1:15" x14ac:dyDescent="0.25">
      <c r="A233" s="3" t="s">
        <v>584</v>
      </c>
      <c r="B233" s="4" t="s">
        <v>552</v>
      </c>
      <c r="C233" s="4" t="s">
        <v>582</v>
      </c>
      <c r="D233" s="3" t="s">
        <v>76</v>
      </c>
      <c r="E233" s="4" t="s">
        <v>585</v>
      </c>
      <c r="F233" s="3" t="s">
        <v>7</v>
      </c>
      <c r="G233" s="3" t="s">
        <v>23</v>
      </c>
      <c r="H233" s="3" t="s">
        <v>20</v>
      </c>
      <c r="I233" s="3" t="s">
        <v>20</v>
      </c>
      <c r="J233" s="4" t="s">
        <v>21</v>
      </c>
      <c r="K233" s="5" t="s">
        <v>22</v>
      </c>
      <c r="L233" s="6" t="s">
        <v>23</v>
      </c>
      <c r="M233" s="6" t="s">
        <v>23</v>
      </c>
      <c r="N233" s="6" t="s">
        <v>23</v>
      </c>
      <c r="O233" s="3">
        <f>VALUE(RIGHT(F233,1))</f>
        <v>2</v>
      </c>
    </row>
    <row r="234" ht="34" customHeight="1" spans="1:15" x14ac:dyDescent="0.25">
      <c r="A234" s="3" t="s">
        <v>586</v>
      </c>
      <c r="B234" s="4" t="s">
        <v>552</v>
      </c>
      <c r="C234" s="4" t="s">
        <v>582</v>
      </c>
      <c r="D234" s="3" t="s">
        <v>111</v>
      </c>
      <c r="E234" s="4" t="s">
        <v>587</v>
      </c>
      <c r="F234" s="3" t="s">
        <v>6</v>
      </c>
      <c r="G234" s="3" t="s">
        <v>20</v>
      </c>
      <c r="H234" s="3" t="s">
        <v>20</v>
      </c>
      <c r="I234" s="3" t="s">
        <v>20</v>
      </c>
      <c r="J234" s="4" t="s">
        <v>21</v>
      </c>
      <c r="K234" s="5" t="s">
        <v>22</v>
      </c>
      <c r="L234" s="6" t="s">
        <v>23</v>
      </c>
      <c r="M234" s="6" t="s">
        <v>23</v>
      </c>
      <c r="N234" s="6" t="s">
        <v>23</v>
      </c>
      <c r="O234" s="3">
        <f>VALUE(RIGHT(F234,1))</f>
        <v>1</v>
      </c>
    </row>
    <row r="235" ht="34" customHeight="1" spans="1:15" x14ac:dyDescent="0.25">
      <c r="A235" s="3" t="s">
        <v>588</v>
      </c>
      <c r="B235" s="4" t="s">
        <v>552</v>
      </c>
      <c r="C235" s="4" t="s">
        <v>582</v>
      </c>
      <c r="D235" s="3" t="s">
        <v>76</v>
      </c>
      <c r="E235" s="4" t="s">
        <v>589</v>
      </c>
      <c r="F235" s="3" t="s">
        <v>7</v>
      </c>
      <c r="G235" s="3" t="s">
        <v>23</v>
      </c>
      <c r="H235" s="3" t="s">
        <v>20</v>
      </c>
      <c r="I235" s="3" t="s">
        <v>20</v>
      </c>
      <c r="J235" s="4" t="s">
        <v>21</v>
      </c>
      <c r="K235" s="5" t="s">
        <v>22</v>
      </c>
      <c r="L235" s="6" t="s">
        <v>23</v>
      </c>
      <c r="M235" s="6" t="s">
        <v>23</v>
      </c>
      <c r="N235" s="6" t="s">
        <v>23</v>
      </c>
      <c r="O235" s="3">
        <f>VALUE(RIGHT(F235,1))</f>
        <v>2</v>
      </c>
    </row>
    <row r="236" ht="34" customHeight="1" spans="1:15" x14ac:dyDescent="0.25">
      <c r="A236" s="3" t="s">
        <v>590</v>
      </c>
      <c r="B236" s="4" t="s">
        <v>552</v>
      </c>
      <c r="C236" s="4" t="s">
        <v>582</v>
      </c>
      <c r="D236" s="3" t="s">
        <v>111</v>
      </c>
      <c r="E236" s="4" t="s">
        <v>591</v>
      </c>
      <c r="F236" s="3" t="s">
        <v>7</v>
      </c>
      <c r="G236" s="3" t="s">
        <v>23</v>
      </c>
      <c r="H236" s="3" t="s">
        <v>20</v>
      </c>
      <c r="I236" s="3" t="s">
        <v>20</v>
      </c>
      <c r="J236" s="4" t="s">
        <v>21</v>
      </c>
      <c r="K236" s="5" t="s">
        <v>22</v>
      </c>
      <c r="L236" s="6" t="s">
        <v>23</v>
      </c>
      <c r="M236" s="6" t="s">
        <v>23</v>
      </c>
      <c r="N236" s="6" t="s">
        <v>23</v>
      </c>
      <c r="O236" s="3">
        <f>VALUE(RIGHT(F236,1))</f>
        <v>2</v>
      </c>
    </row>
    <row r="237" ht="34" customHeight="1" spans="1:15" x14ac:dyDescent="0.25">
      <c r="A237" s="3" t="s">
        <v>592</v>
      </c>
      <c r="B237" s="4" t="s">
        <v>552</v>
      </c>
      <c r="C237" s="4" t="s">
        <v>593</v>
      </c>
      <c r="D237" s="3" t="s">
        <v>111</v>
      </c>
      <c r="E237" s="4" t="s">
        <v>594</v>
      </c>
      <c r="F237" s="3" t="s">
        <v>7</v>
      </c>
      <c r="G237" s="3" t="s">
        <v>23</v>
      </c>
      <c r="H237" s="3" t="s">
        <v>20</v>
      </c>
      <c r="I237" s="3" t="s">
        <v>20</v>
      </c>
      <c r="J237" s="4" t="s">
        <v>21</v>
      </c>
      <c r="K237" s="5" t="s">
        <v>22</v>
      </c>
      <c r="L237" s="6" t="s">
        <v>23</v>
      </c>
      <c r="M237" s="6" t="s">
        <v>23</v>
      </c>
      <c r="N237" s="6" t="s">
        <v>23</v>
      </c>
      <c r="O237" s="3">
        <f>VALUE(RIGHT(F237,1))</f>
        <v>2</v>
      </c>
    </row>
    <row r="238" ht="34" customHeight="1" spans="1:15" x14ac:dyDescent="0.25">
      <c r="A238" s="3" t="s">
        <v>595</v>
      </c>
      <c r="B238" s="4" t="s">
        <v>552</v>
      </c>
      <c r="C238" s="4" t="s">
        <v>593</v>
      </c>
      <c r="D238" s="3" t="s">
        <v>111</v>
      </c>
      <c r="E238" s="4" t="s">
        <v>596</v>
      </c>
      <c r="F238" s="3" t="s">
        <v>7</v>
      </c>
      <c r="G238" s="3" t="s">
        <v>23</v>
      </c>
      <c r="H238" s="3" t="s">
        <v>20</v>
      </c>
      <c r="I238" s="3" t="s">
        <v>20</v>
      </c>
      <c r="J238" s="4" t="s">
        <v>21</v>
      </c>
      <c r="K238" s="5" t="s">
        <v>22</v>
      </c>
      <c r="L238" s="6" t="s">
        <v>23</v>
      </c>
      <c r="M238" s="6" t="s">
        <v>23</v>
      </c>
      <c r="N238" s="6" t="s">
        <v>23</v>
      </c>
      <c r="O238" s="3">
        <f>VALUE(RIGHT(F238,1))</f>
        <v>2</v>
      </c>
    </row>
    <row r="239" ht="34" customHeight="1" spans="1:15" x14ac:dyDescent="0.25">
      <c r="A239" s="3" t="s">
        <v>597</v>
      </c>
      <c r="B239" s="4" t="s">
        <v>552</v>
      </c>
      <c r="C239" s="4" t="s">
        <v>598</v>
      </c>
      <c r="D239" s="3" t="s">
        <v>79</v>
      </c>
      <c r="E239" s="4" t="s">
        <v>599</v>
      </c>
      <c r="F239" s="3" t="s">
        <v>7</v>
      </c>
      <c r="G239" s="3" t="s">
        <v>23</v>
      </c>
      <c r="H239" s="3" t="s">
        <v>20</v>
      </c>
      <c r="I239" s="3" t="s">
        <v>20</v>
      </c>
      <c r="J239" s="4" t="s">
        <v>21</v>
      </c>
      <c r="K239" s="5" t="s">
        <v>22</v>
      </c>
      <c r="L239" s="6" t="s">
        <v>23</v>
      </c>
      <c r="M239" s="6" t="s">
        <v>23</v>
      </c>
      <c r="N239" s="6" t="s">
        <v>23</v>
      </c>
      <c r="O239" s="3">
        <f>VALUE(RIGHT(F239,1))</f>
        <v>2</v>
      </c>
    </row>
    <row r="240" ht="34" customHeight="1" spans="1:15" x14ac:dyDescent="0.25">
      <c r="A240" s="3" t="s">
        <v>600</v>
      </c>
      <c r="B240" s="4" t="s">
        <v>552</v>
      </c>
      <c r="C240" s="4" t="s">
        <v>598</v>
      </c>
      <c r="D240" s="3" t="s">
        <v>79</v>
      </c>
      <c r="E240" s="4" t="s">
        <v>601</v>
      </c>
      <c r="F240" s="3" t="s">
        <v>7</v>
      </c>
      <c r="G240" s="3" t="s">
        <v>23</v>
      </c>
      <c r="H240" s="3" t="s">
        <v>20</v>
      </c>
      <c r="I240" s="3" t="s">
        <v>20</v>
      </c>
      <c r="J240" s="4" t="s">
        <v>21</v>
      </c>
      <c r="K240" s="5" t="s">
        <v>22</v>
      </c>
      <c r="L240" s="6" t="s">
        <v>23</v>
      </c>
      <c r="M240" s="6" t="s">
        <v>23</v>
      </c>
      <c r="N240" s="6" t="s">
        <v>23</v>
      </c>
      <c r="O240" s="3">
        <f>VALUE(RIGHT(F240,1))</f>
        <v>2</v>
      </c>
    </row>
    <row r="241" ht="34" customHeight="1" spans="1:15" x14ac:dyDescent="0.25">
      <c r="A241" s="3" t="s">
        <v>602</v>
      </c>
      <c r="B241" s="4" t="s">
        <v>552</v>
      </c>
      <c r="C241" s="4" t="s">
        <v>598</v>
      </c>
      <c r="D241" s="3" t="s">
        <v>62</v>
      </c>
      <c r="E241" s="4" t="s">
        <v>603</v>
      </c>
      <c r="F241" s="3" t="s">
        <v>8</v>
      </c>
      <c r="G241" s="3" t="s">
        <v>23</v>
      </c>
      <c r="H241" s="3" t="s">
        <v>23</v>
      </c>
      <c r="I241" s="3" t="s">
        <v>20</v>
      </c>
      <c r="J241" s="4" t="s">
        <v>21</v>
      </c>
      <c r="K241" s="5" t="s">
        <v>22</v>
      </c>
      <c r="L241" s="6" t="s">
        <v>23</v>
      </c>
      <c r="M241" s="6" t="s">
        <v>23</v>
      </c>
      <c r="N241" s="6" t="s">
        <v>23</v>
      </c>
      <c r="O241" s="3">
        <f>VALUE(RIGHT(F241,1))</f>
        <v>3</v>
      </c>
    </row>
  </sheetData>
  <autoFilter ref="A1:N241"/>
  <conditionalFormatting sqref="F2:F241">
    <cfRule type="expression" dxfId="0" priority="1">
      <formula>$F2="L1"</formula>
    </cfRule>
    <cfRule type="expression" dxfId="1" priority="2">
      <formula>$F2="L2"</formula>
    </cfRule>
    <cfRule type="expression" dxfId="2" priority="3">
      <formula>$F2="L3"</formula>
    </cfRule>
  </conditionalFormatting>
  <conditionalFormatting sqref="K2:K241">
    <cfRule type="expression" dxfId="3" priority="10">
      <formula>$K2="已满足"</formula>
    </cfRule>
    <cfRule type="expression" dxfId="4" priority="11">
      <formula>$K2="部分满足"</formula>
    </cfRule>
    <cfRule type="expression" dxfId="5" priority="12">
      <formula>$K2="未满足"</formula>
    </cfRule>
    <cfRule type="expression" dxfId="6" priority="13">
      <formula>$K2="不适用"</formula>
    </cfRule>
  </conditionalFormatting>
  <dataValidations count="1">
    <dataValidation type="list" allowBlank="1" showErrorMessage="1" errorTitle="状态" error="请从下拉列表中选择" sqref="K2:K241">
      <formula1>"未评估,已满足,部分满足,未满足,不适用"</formula1>
    </dataValidation>
  </dataValidations>
  <pageSetup paperSize="8"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5"/>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13" width="10" customWidth="1"/>
  </cols>
  <sheetData>
    <row r="1" spans="1:1" x14ac:dyDescent="0.25">
      <c r="A1" s="7" t="s">
        <v>604</v>
      </c>
    </row>
    <row r="2" spans="1:1" x14ac:dyDescent="0.25">
      <c r="A2" s="8" t="s">
        <v>605</v>
      </c>
    </row>
    <row r="4" ht="30" customHeight="1" spans="1:9" x14ac:dyDescent="0.25">
      <c r="A4" s="1" t="s">
        <v>606</v>
      </c>
      <c r="B4" s="1" t="s">
        <v>607</v>
      </c>
      <c r="C4" s="1" t="s">
        <v>608</v>
      </c>
      <c r="D4" s="1" t="s">
        <v>609</v>
      </c>
      <c r="E4" s="1" t="s">
        <v>610</v>
      </c>
      <c r="F4" s="1" t="s">
        <v>611</v>
      </c>
      <c r="G4" s="1" t="s">
        <v>22</v>
      </c>
      <c r="H4" s="1" t="s">
        <v>612</v>
      </c>
      <c r="I4" s="1" t="s">
        <v>613</v>
      </c>
    </row>
    <row r="5" spans="1:9" x14ac:dyDescent="0.25">
      <c r="A5" s="9" t="s">
        <v>614</v>
      </c>
      <c r="B5" s="10">
        <f>COUNTIFS('评估表'!$O$2:$O$241,"&lt;=1")</f>
        <v>90</v>
      </c>
      <c r="C5" s="10">
        <f>COUNTIFS('评估表'!$O$2:$O$241,"&lt;=1",'评估表'!$K$2:$K$241,"已满足")</f>
        <v>0</v>
      </c>
      <c r="D5" s="10">
        <f>COUNTIFS('评估表'!$O$2:$O$241,"&lt;=1",'评估表'!$K$2:$K$241,"部分满足")</f>
        <v>0</v>
      </c>
      <c r="E5" s="10">
        <f>COUNTIFS('评估表'!$O$2:$O$241,"&lt;=1",'评估表'!$K$2:$K$241,"未满足")</f>
        <v>0</v>
      </c>
      <c r="F5" s="10">
        <f>COUNTIFS('评估表'!$O$2:$O$241,"&lt;=1",'评估表'!$K$2:$K$241,"不适用")</f>
        <v>0</v>
      </c>
      <c r="G5" s="10">
        <f>B5-SUM(C5:F5)</f>
        <v>90</v>
      </c>
      <c r="H5" s="11">
        <f>IF(B5-F5=0,"—",C5/(B5-F5))</f>
        <v>0</v>
      </c>
      <c r="I5" s="10" t="str">
        <f>IF(C5=B5-F5,"已达到","未达到")</f>
        <v>未达到</v>
      </c>
    </row>
    <row r="6" spans="1:9" x14ac:dyDescent="0.25">
      <c r="A6" s="9" t="s">
        <v>615</v>
      </c>
      <c r="B6" s="10">
        <f>COUNTIFS('评估表'!$O$2:$O$241,"&lt;=2")</f>
        <v>227</v>
      </c>
      <c r="C6" s="10">
        <f>COUNTIFS('评估表'!$O$2:$O$241,"&lt;=2",'评估表'!$K$2:$K$241,"已满足")</f>
        <v>0</v>
      </c>
      <c r="D6" s="10">
        <f>COUNTIFS('评估表'!$O$2:$O$241,"&lt;=2",'评估表'!$K$2:$K$241,"部分满足")</f>
        <v>0</v>
      </c>
      <c r="E6" s="10">
        <f>COUNTIFS('评估表'!$O$2:$O$241,"&lt;=2",'评估表'!$K$2:$K$241,"未满足")</f>
        <v>0</v>
      </c>
      <c r="F6" s="10">
        <f>COUNTIFS('评估表'!$O$2:$O$241,"&lt;=2",'评估表'!$K$2:$K$241,"不适用")</f>
        <v>0</v>
      </c>
      <c r="G6" s="10">
        <f>B6-SUM(C6:F6)</f>
        <v>227</v>
      </c>
      <c r="H6" s="11">
        <f>IF(B6-F6=0,"—",C6/(B6-F6))</f>
        <v>0</v>
      </c>
      <c r="I6" s="10" t="str">
        <f>IF(C6=B6-F6,"已达到","未达到")</f>
        <v>未达到</v>
      </c>
    </row>
    <row r="7" spans="1:9" x14ac:dyDescent="0.25">
      <c r="A7" s="9" t="s">
        <v>616</v>
      </c>
      <c r="B7" s="10">
        <f>COUNTIFS('评估表'!$O$2:$O$241,"&lt;=3")</f>
        <v>240</v>
      </c>
      <c r="C7" s="10">
        <f>COUNTIFS('评估表'!$O$2:$O$241,"&lt;=3",'评估表'!$K$2:$K$241,"已满足")</f>
        <v>0</v>
      </c>
      <c r="D7" s="10">
        <f>COUNTIFS('评估表'!$O$2:$O$241,"&lt;=3",'评估表'!$K$2:$K$241,"部分满足")</f>
        <v>0</v>
      </c>
      <c r="E7" s="10">
        <f>COUNTIFS('评估表'!$O$2:$O$241,"&lt;=3",'评估表'!$K$2:$K$241,"未满足")</f>
        <v>0</v>
      </c>
      <c r="F7" s="10">
        <f>COUNTIFS('评估表'!$O$2:$O$241,"&lt;=3",'评估表'!$K$2:$K$241,"不适用")</f>
        <v>0</v>
      </c>
      <c r="G7" s="10">
        <f>B7-SUM(C7:F7)</f>
        <v>240</v>
      </c>
      <c r="H7" s="11">
        <f>IF(B7-F7=0,"—",C7/(B7-F7))</f>
        <v>0</v>
      </c>
      <c r="I7" s="10" t="str">
        <f>IF(C7=B7-F7,"已达到","未达到")</f>
        <v>未达到</v>
      </c>
    </row>
    <row r="10" spans="1:3" x14ac:dyDescent="0.25">
      <c r="A10" s="12" t="s">
        <v>617</v>
      </c>
      <c r="B10" s="13" t="s">
        <v>7</v>
      </c>
      <c r="C10" s="8" t="s">
        <v>618</v>
      </c>
    </row>
    <row r="12" spans="1:1" x14ac:dyDescent="0.25">
      <c r="A12" s="14" t="s">
        <v>619</v>
      </c>
    </row>
    <row r="13" ht="30" customHeight="1" spans="1:13" x14ac:dyDescent="0.25">
      <c r="A13" s="1" t="s">
        <v>620</v>
      </c>
      <c r="B13" s="1" t="s">
        <v>6</v>
      </c>
      <c r="C13" s="1" t="s">
        <v>621</v>
      </c>
      <c r="D13" s="1" t="s">
        <v>622</v>
      </c>
      <c r="E13" s="1" t="s">
        <v>623</v>
      </c>
      <c r="F13" s="15" t="s">
        <v>624</v>
      </c>
      <c r="G13" s="15" t="s">
        <v>608</v>
      </c>
      <c r="H13" s="15" t="s">
        <v>609</v>
      </c>
      <c r="I13" s="15" t="s">
        <v>610</v>
      </c>
      <c r="J13" s="15" t="s">
        <v>611</v>
      </c>
      <c r="K13" s="15" t="s">
        <v>22</v>
      </c>
      <c r="L13" s="15" t="s">
        <v>612</v>
      </c>
      <c r="M13" s="15" t="s">
        <v>625</v>
      </c>
    </row>
    <row r="14" spans="1:13" x14ac:dyDescent="0.25">
      <c r="A14" s="9" t="s">
        <v>18</v>
      </c>
      <c r="B14" s="10">
        <f>COUNTIFS('评估表'!$D$2:$D$241,$A14,'评估表'!$F$2:$F$241,"L1")</f>
        <v>7</v>
      </c>
      <c r="C14" s="10">
        <f>COUNTIFS('评估表'!$D$2:$D$241,$A14,'评估表'!$F$2:$F$241,"L2")</f>
        <v>12</v>
      </c>
      <c r="D14" s="10">
        <f>COUNTIFS('评估表'!$D$2:$D$241,$A14,'评估表'!$F$2:$F$241,"L3")</f>
        <v>3</v>
      </c>
      <c r="E14" s="10">
        <f>SUM(B14:D14)</f>
        <v>22</v>
      </c>
      <c r="F14" s="10">
        <f>COUNTIFS('评估表'!$D$2:$D$241,$A14,'评估表'!$O$2:$O$241,"&lt;="&amp;VALUE(RIGHT($B$10,1)))</f>
        <v>19</v>
      </c>
      <c r="G14" s="10">
        <f>COUNTIFS('评估表'!$D$2:$D$241,$A14,'评估表'!$O$2:$O$241,"&lt;="&amp;VALUE(RIGHT($B$10,1)),'评估表'!$K$2:$K$241,"已满足")</f>
        <v>0</v>
      </c>
      <c r="H14" s="10">
        <f>COUNTIFS('评估表'!$D$2:$D$241,$A14,'评估表'!$O$2:$O$241,"&lt;="&amp;VALUE(RIGHT($B$10,1)),'评估表'!$K$2:$K$241,"部分满足")</f>
        <v>0</v>
      </c>
      <c r="I14" s="10">
        <f>COUNTIFS('评估表'!$D$2:$D$241,$A14,'评估表'!$O$2:$O$241,"&lt;="&amp;VALUE(RIGHT($B$10,1)),'评估表'!$K$2:$K$241,"未满足")</f>
        <v>0</v>
      </c>
      <c r="J14" s="10">
        <f>COUNTIFS('评估表'!$D$2:$D$241,$A14,'评估表'!$O$2:$O$241,"&lt;="&amp;VALUE(RIGHT($B$10,1)),'评估表'!$K$2:$K$241,"不适用")</f>
        <v>0</v>
      </c>
      <c r="K14" s="10">
        <f>F14-SUM(G14:J14)</f>
        <v>19</v>
      </c>
      <c r="L14" s="11">
        <f>IF(F14-J14=0,"—",G14/(F14-J14))</f>
        <v>0</v>
      </c>
      <c r="M14" s="10" t="str">
        <f>IF(COUNTIFS('评估表'!$D$2:$D$241,$A14,'评估表'!$O$2:$O$241,"&lt;=1",'评估表'!$K$2:$K$241,"&lt;&gt;已满足",'评估表'!$K$2:$K$241,"&lt;&gt;不适用")&gt;0,"未达 L1",IF(COUNTIFS('评估表'!$D$2:$D$241,$A14,'评估表'!$O$2:$O$241,"&lt;=2",'评估表'!$K$2:$K$241,"&lt;&gt;已满足",'评估表'!$K$2:$K$241,"&lt;&gt;不适用")&gt;0,"L1",IF(COUNTIFS('评估表'!$D$2:$D$241,$A14,'评估表'!$O$2:$O$241,"&lt;=3",'评估表'!$K$2:$K$241,"&lt;&gt;已满足",'评估表'!$K$2:$K$241,"&lt;&gt;不适用")&gt;0,"L2","L3")))</f>
        <v>未达 L1</v>
      </c>
    </row>
    <row r="15" spans="1:13" x14ac:dyDescent="0.25">
      <c r="A15" s="9" t="s">
        <v>32</v>
      </c>
      <c r="B15" s="10">
        <f>COUNTIFS('评估表'!$D$2:$D$241,$A15,'评估表'!$F$2:$F$241,"L1")</f>
        <v>8</v>
      </c>
      <c r="C15" s="10">
        <f>COUNTIFS('评估表'!$D$2:$D$241,$A15,'评估表'!$F$2:$F$241,"L2")</f>
        <v>10</v>
      </c>
      <c r="D15" s="10">
        <f>COUNTIFS('评估表'!$D$2:$D$241,$A15,'评估表'!$F$2:$F$241,"L3")</f>
        <v>0</v>
      </c>
      <c r="E15" s="10">
        <f>SUM(B15:D15)</f>
        <v>18</v>
      </c>
      <c r="F15" s="10">
        <f>COUNTIFS('评估表'!$D$2:$D$241,$A15,'评估表'!$O$2:$O$241,"&lt;="&amp;VALUE(RIGHT($B$10,1)))</f>
        <v>18</v>
      </c>
      <c r="G15" s="10">
        <f>COUNTIFS('评估表'!$D$2:$D$241,$A15,'评估表'!$O$2:$O$241,"&lt;="&amp;VALUE(RIGHT($B$10,1)),'评估表'!$K$2:$K$241,"已满足")</f>
        <v>0</v>
      </c>
      <c r="H15" s="10">
        <f>COUNTIFS('评估表'!$D$2:$D$241,$A15,'评估表'!$O$2:$O$241,"&lt;="&amp;VALUE(RIGHT($B$10,1)),'评估表'!$K$2:$K$241,"部分满足")</f>
        <v>0</v>
      </c>
      <c r="I15" s="10">
        <f>COUNTIFS('评估表'!$D$2:$D$241,$A15,'评估表'!$O$2:$O$241,"&lt;="&amp;VALUE(RIGHT($B$10,1)),'评估表'!$K$2:$K$241,"未满足")</f>
        <v>0</v>
      </c>
      <c r="J15" s="10">
        <f>COUNTIFS('评估表'!$D$2:$D$241,$A15,'评估表'!$O$2:$O$241,"&lt;="&amp;VALUE(RIGHT($B$10,1)),'评估表'!$K$2:$K$241,"不适用")</f>
        <v>0</v>
      </c>
      <c r="K15" s="10">
        <f>F15-SUM(G15:J15)</f>
        <v>18</v>
      </c>
      <c r="L15" s="11">
        <f>IF(F15-J15=0,"—",G15/(F15-J15))</f>
        <v>0</v>
      </c>
      <c r="M15" s="10" t="str">
        <f>IF(COUNTIFS('评估表'!$D$2:$D$241,$A15,'评估表'!$O$2:$O$241,"&lt;=1",'评估表'!$K$2:$K$241,"&lt;&gt;已满足",'评估表'!$K$2:$K$241,"&lt;&gt;不适用")&gt;0,"未达 L1",IF(COUNTIFS('评估表'!$D$2:$D$241,$A15,'评估表'!$O$2:$O$241,"&lt;=2",'评估表'!$K$2:$K$241,"&lt;&gt;已满足",'评估表'!$K$2:$K$241,"&lt;&gt;不适用")&gt;0,"L1",IF(COUNTIFS('评估表'!$D$2:$D$241,$A15,'评估表'!$O$2:$O$241,"&lt;=3",'评估表'!$K$2:$K$241,"&lt;&gt;已满足",'评估表'!$K$2:$K$241,"&lt;&gt;不适用")&gt;0,"L2","L3")))</f>
        <v>未达 L1</v>
      </c>
    </row>
    <row r="16" spans="1:13" x14ac:dyDescent="0.25">
      <c r="A16" s="9" t="s">
        <v>62</v>
      </c>
      <c r="B16" s="10">
        <f>COUNTIFS('评估表'!$D$2:$D$241,$A16,'评估表'!$F$2:$F$241,"L1")</f>
        <v>18</v>
      </c>
      <c r="C16" s="10">
        <f>COUNTIFS('评估表'!$D$2:$D$241,$A16,'评估表'!$F$2:$F$241,"L2")</f>
        <v>28</v>
      </c>
      <c r="D16" s="10">
        <f>COUNTIFS('评估表'!$D$2:$D$241,$A16,'评估表'!$F$2:$F$241,"L3")</f>
        <v>2</v>
      </c>
      <c r="E16" s="10">
        <f>SUM(B16:D16)</f>
        <v>48</v>
      </c>
      <c r="F16" s="10">
        <f>COUNTIFS('评估表'!$D$2:$D$241,$A16,'评估表'!$O$2:$O$241,"&lt;="&amp;VALUE(RIGHT($B$10,1)))</f>
        <v>46</v>
      </c>
      <c r="G16" s="10">
        <f>COUNTIFS('评估表'!$D$2:$D$241,$A16,'评估表'!$O$2:$O$241,"&lt;="&amp;VALUE(RIGHT($B$10,1)),'评估表'!$K$2:$K$241,"已满足")</f>
        <v>0</v>
      </c>
      <c r="H16" s="10">
        <f>COUNTIFS('评估表'!$D$2:$D$241,$A16,'评估表'!$O$2:$O$241,"&lt;="&amp;VALUE(RIGHT($B$10,1)),'评估表'!$K$2:$K$241,"部分满足")</f>
        <v>0</v>
      </c>
      <c r="I16" s="10">
        <f>COUNTIFS('评估表'!$D$2:$D$241,$A16,'评估表'!$O$2:$O$241,"&lt;="&amp;VALUE(RIGHT($B$10,1)),'评估表'!$K$2:$K$241,"未满足")</f>
        <v>0</v>
      </c>
      <c r="J16" s="10">
        <f>COUNTIFS('评估表'!$D$2:$D$241,$A16,'评估表'!$O$2:$O$241,"&lt;="&amp;VALUE(RIGHT($B$10,1)),'评估表'!$K$2:$K$241,"不适用")</f>
        <v>0</v>
      </c>
      <c r="K16" s="10">
        <f>F16-SUM(G16:J16)</f>
        <v>46</v>
      </c>
      <c r="L16" s="11">
        <f>IF(F16-J16=0,"—",G16/(F16-J16))</f>
        <v>0</v>
      </c>
      <c r="M16" s="10" t="str">
        <f>IF(COUNTIFS('评估表'!$D$2:$D$241,$A16,'评估表'!$O$2:$O$241,"&lt;=1",'评估表'!$K$2:$K$241,"&lt;&gt;已满足",'评估表'!$K$2:$K$241,"&lt;&gt;不适用")&gt;0,"未达 L1",IF(COUNTIFS('评估表'!$D$2:$D$241,$A16,'评估表'!$O$2:$O$241,"&lt;=2",'评估表'!$K$2:$K$241,"&lt;&gt;已满足",'评估表'!$K$2:$K$241,"&lt;&gt;不适用")&gt;0,"L1",IF(COUNTIFS('评估表'!$D$2:$D$241,$A16,'评估表'!$O$2:$O$241,"&lt;=3",'评估表'!$K$2:$K$241,"&lt;&gt;已满足",'评估表'!$K$2:$K$241,"&lt;&gt;不适用")&gt;0,"L2","L3")))</f>
        <v>未达 L1</v>
      </c>
    </row>
    <row r="17" spans="1:13" x14ac:dyDescent="0.25">
      <c r="A17" s="9" t="s">
        <v>76</v>
      </c>
      <c r="B17" s="10">
        <f>COUNTIFS('评估表'!$D$2:$D$241,$A17,'评估表'!$F$2:$F$241,"L1")</f>
        <v>12</v>
      </c>
      <c r="C17" s="10">
        <f>COUNTIFS('评估表'!$D$2:$D$241,$A17,'评估表'!$F$2:$F$241,"L2")</f>
        <v>12</v>
      </c>
      <c r="D17" s="10">
        <f>COUNTIFS('评估表'!$D$2:$D$241,$A17,'评估表'!$F$2:$F$241,"L3")</f>
        <v>5</v>
      </c>
      <c r="E17" s="10">
        <f>SUM(B17:D17)</f>
        <v>29</v>
      </c>
      <c r="F17" s="10">
        <f>COUNTIFS('评估表'!$D$2:$D$241,$A17,'评估表'!$O$2:$O$241,"&lt;="&amp;VALUE(RIGHT($B$10,1)))</f>
        <v>24</v>
      </c>
      <c r="G17" s="10">
        <f>COUNTIFS('评估表'!$D$2:$D$241,$A17,'评估表'!$O$2:$O$241,"&lt;="&amp;VALUE(RIGHT($B$10,1)),'评估表'!$K$2:$K$241,"已满足")</f>
        <v>0</v>
      </c>
      <c r="H17" s="10">
        <f>COUNTIFS('评估表'!$D$2:$D$241,$A17,'评估表'!$O$2:$O$241,"&lt;="&amp;VALUE(RIGHT($B$10,1)),'评估表'!$K$2:$K$241,"部分满足")</f>
        <v>0</v>
      </c>
      <c r="I17" s="10">
        <f>COUNTIFS('评估表'!$D$2:$D$241,$A17,'评估表'!$O$2:$O$241,"&lt;="&amp;VALUE(RIGHT($B$10,1)),'评估表'!$K$2:$K$241,"未满足")</f>
        <v>0</v>
      </c>
      <c r="J17" s="10">
        <f>COUNTIFS('评估表'!$D$2:$D$241,$A17,'评估表'!$O$2:$O$241,"&lt;="&amp;VALUE(RIGHT($B$10,1)),'评估表'!$K$2:$K$241,"不适用")</f>
        <v>0</v>
      </c>
      <c r="K17" s="10">
        <f>F17-SUM(G17:J17)</f>
        <v>24</v>
      </c>
      <c r="L17" s="11">
        <f>IF(F17-J17=0,"—",G17/(F17-J17))</f>
        <v>0</v>
      </c>
      <c r="M17" s="10" t="str">
        <f>IF(COUNTIFS('评估表'!$D$2:$D$241,$A17,'评估表'!$O$2:$O$241,"&lt;=1",'评估表'!$K$2:$K$241,"&lt;&gt;已满足",'评估表'!$K$2:$K$241,"&lt;&gt;不适用")&gt;0,"未达 L1",IF(COUNTIFS('评估表'!$D$2:$D$241,$A17,'评估表'!$O$2:$O$241,"&lt;=2",'评估表'!$K$2:$K$241,"&lt;&gt;已满足",'评估表'!$K$2:$K$241,"&lt;&gt;不适用")&gt;0,"L1",IF(COUNTIFS('评估表'!$D$2:$D$241,$A17,'评估表'!$O$2:$O$241,"&lt;=3",'评估表'!$K$2:$K$241,"&lt;&gt;已满足",'评估表'!$K$2:$K$241,"&lt;&gt;不适用")&gt;0,"L2","L3")))</f>
        <v>未达 L1</v>
      </c>
    </row>
    <row r="18" spans="1:13" x14ac:dyDescent="0.25">
      <c r="A18" s="9" t="s">
        <v>65</v>
      </c>
      <c r="B18" s="10">
        <f>COUNTIFS('评估表'!$D$2:$D$241,$A18,'评估表'!$F$2:$F$241,"L1")</f>
        <v>16</v>
      </c>
      <c r="C18" s="10">
        <f>COUNTIFS('评估表'!$D$2:$D$241,$A18,'评估表'!$F$2:$F$241,"L2")</f>
        <v>16</v>
      </c>
      <c r="D18" s="10">
        <f>COUNTIFS('评估表'!$D$2:$D$241,$A18,'评估表'!$F$2:$F$241,"L3")</f>
        <v>0</v>
      </c>
      <c r="E18" s="10">
        <f>SUM(B18:D18)</f>
        <v>32</v>
      </c>
      <c r="F18" s="10">
        <f>COUNTIFS('评估表'!$D$2:$D$241,$A18,'评估表'!$O$2:$O$241,"&lt;="&amp;VALUE(RIGHT($B$10,1)))</f>
        <v>32</v>
      </c>
      <c r="G18" s="10">
        <f>COUNTIFS('评估表'!$D$2:$D$241,$A18,'评估表'!$O$2:$O$241,"&lt;="&amp;VALUE(RIGHT($B$10,1)),'评估表'!$K$2:$K$241,"已满足")</f>
        <v>0</v>
      </c>
      <c r="H18" s="10">
        <f>COUNTIFS('评估表'!$D$2:$D$241,$A18,'评估表'!$O$2:$O$241,"&lt;="&amp;VALUE(RIGHT($B$10,1)),'评估表'!$K$2:$K$241,"部分满足")</f>
        <v>0</v>
      </c>
      <c r="I18" s="10">
        <f>COUNTIFS('评估表'!$D$2:$D$241,$A18,'评估表'!$O$2:$O$241,"&lt;="&amp;VALUE(RIGHT($B$10,1)),'评估表'!$K$2:$K$241,"未满足")</f>
        <v>0</v>
      </c>
      <c r="J18" s="10">
        <f>COUNTIFS('评估表'!$D$2:$D$241,$A18,'评估表'!$O$2:$O$241,"&lt;="&amp;VALUE(RIGHT($B$10,1)),'评估表'!$K$2:$K$241,"不适用")</f>
        <v>0</v>
      </c>
      <c r="K18" s="10">
        <f>F18-SUM(G18:J18)</f>
        <v>32</v>
      </c>
      <c r="L18" s="11">
        <f>IF(F18-J18=0,"—",G18/(F18-J18))</f>
        <v>0</v>
      </c>
      <c r="M18" s="10" t="str">
        <f>IF(COUNTIFS('评估表'!$D$2:$D$241,$A18,'评估表'!$O$2:$O$241,"&lt;=1",'评估表'!$K$2:$K$241,"&lt;&gt;已满足",'评估表'!$K$2:$K$241,"&lt;&gt;不适用")&gt;0,"未达 L1",IF(COUNTIFS('评估表'!$D$2:$D$241,$A18,'评估表'!$O$2:$O$241,"&lt;=2",'评估表'!$K$2:$K$241,"&lt;&gt;已满足",'评估表'!$K$2:$K$241,"&lt;&gt;不适用")&gt;0,"L1",IF(COUNTIFS('评估表'!$D$2:$D$241,$A18,'评估表'!$O$2:$O$241,"&lt;=3",'评估表'!$K$2:$K$241,"&lt;&gt;已满足",'评估表'!$K$2:$K$241,"&lt;&gt;不适用")&gt;0,"L2","L3")))</f>
        <v>未达 L1</v>
      </c>
    </row>
    <row r="19" spans="1:13" x14ac:dyDescent="0.25">
      <c r="A19" s="9" t="s">
        <v>51</v>
      </c>
      <c r="B19" s="10">
        <f>COUNTIFS('评估表'!$D$2:$D$241,$A19,'评估表'!$F$2:$F$241,"L1")</f>
        <v>2</v>
      </c>
      <c r="C19" s="10">
        <f>COUNTIFS('评估表'!$D$2:$D$241,$A19,'评估表'!$F$2:$F$241,"L2")</f>
        <v>2</v>
      </c>
      <c r="D19" s="10">
        <f>COUNTIFS('评估表'!$D$2:$D$241,$A19,'评估表'!$F$2:$F$241,"L3")</f>
        <v>0</v>
      </c>
      <c r="E19" s="10">
        <f>SUM(B19:D19)</f>
        <v>4</v>
      </c>
      <c r="F19" s="10">
        <f>COUNTIFS('评估表'!$D$2:$D$241,$A19,'评估表'!$O$2:$O$241,"&lt;="&amp;VALUE(RIGHT($B$10,1)))</f>
        <v>4</v>
      </c>
      <c r="G19" s="10">
        <f>COUNTIFS('评估表'!$D$2:$D$241,$A19,'评估表'!$O$2:$O$241,"&lt;="&amp;VALUE(RIGHT($B$10,1)),'评估表'!$K$2:$K$241,"已满足")</f>
        <v>0</v>
      </c>
      <c r="H19" s="10">
        <f>COUNTIFS('评估表'!$D$2:$D$241,$A19,'评估表'!$O$2:$O$241,"&lt;="&amp;VALUE(RIGHT($B$10,1)),'评估表'!$K$2:$K$241,"部分满足")</f>
        <v>0</v>
      </c>
      <c r="I19" s="10">
        <f>COUNTIFS('评估表'!$D$2:$D$241,$A19,'评估表'!$O$2:$O$241,"&lt;="&amp;VALUE(RIGHT($B$10,1)),'评估表'!$K$2:$K$241,"未满足")</f>
        <v>0</v>
      </c>
      <c r="J19" s="10">
        <f>COUNTIFS('评估表'!$D$2:$D$241,$A19,'评估表'!$O$2:$O$241,"&lt;="&amp;VALUE(RIGHT($B$10,1)),'评估表'!$K$2:$K$241,"不适用")</f>
        <v>0</v>
      </c>
      <c r="K19" s="10">
        <f>F19-SUM(G19:J19)</f>
        <v>4</v>
      </c>
      <c r="L19" s="11">
        <f>IF(F19-J19=0,"—",G19/(F19-J19))</f>
        <v>0</v>
      </c>
      <c r="M19" s="10" t="str">
        <f>IF(COUNTIFS('评估表'!$D$2:$D$241,$A19,'评估表'!$O$2:$O$241,"&lt;=1",'评估表'!$K$2:$K$241,"&lt;&gt;已满足",'评估表'!$K$2:$K$241,"&lt;&gt;不适用")&gt;0,"未达 L1",IF(COUNTIFS('评估表'!$D$2:$D$241,$A19,'评估表'!$O$2:$O$241,"&lt;=2",'评估表'!$K$2:$K$241,"&lt;&gt;已满足",'评估表'!$K$2:$K$241,"&lt;&gt;不适用")&gt;0,"L1",IF(COUNTIFS('评估表'!$D$2:$D$241,$A19,'评估表'!$O$2:$O$241,"&lt;=3",'评估表'!$K$2:$K$241,"&lt;&gt;已满足",'评估表'!$K$2:$K$241,"&lt;&gt;不适用")&gt;0,"L2","L3")))</f>
        <v>未达 L1</v>
      </c>
    </row>
    <row r="20" spans="1:13" x14ac:dyDescent="0.25">
      <c r="A20" s="9" t="s">
        <v>403</v>
      </c>
      <c r="B20" s="10">
        <f>COUNTIFS('评估表'!$D$2:$D$241,$A20,'评估表'!$F$2:$F$241,"L1")</f>
        <v>3</v>
      </c>
      <c r="C20" s="10">
        <f>COUNTIFS('评估表'!$D$2:$D$241,$A20,'评估表'!$F$2:$F$241,"L2")</f>
        <v>11</v>
      </c>
      <c r="D20" s="10">
        <f>COUNTIFS('评估表'!$D$2:$D$241,$A20,'评估表'!$F$2:$F$241,"L3")</f>
        <v>0</v>
      </c>
      <c r="E20" s="10">
        <f>SUM(B20:D20)</f>
        <v>14</v>
      </c>
      <c r="F20" s="10">
        <f>COUNTIFS('评估表'!$D$2:$D$241,$A20,'评估表'!$O$2:$O$241,"&lt;="&amp;VALUE(RIGHT($B$10,1)))</f>
        <v>14</v>
      </c>
      <c r="G20" s="10">
        <f>COUNTIFS('评估表'!$D$2:$D$241,$A20,'评估表'!$O$2:$O$241,"&lt;="&amp;VALUE(RIGHT($B$10,1)),'评估表'!$K$2:$K$241,"已满足")</f>
        <v>0</v>
      </c>
      <c r="H20" s="10">
        <f>COUNTIFS('评估表'!$D$2:$D$241,$A20,'评估表'!$O$2:$O$241,"&lt;="&amp;VALUE(RIGHT($B$10,1)),'评估表'!$K$2:$K$241,"部分满足")</f>
        <v>0</v>
      </c>
      <c r="I20" s="10">
        <f>COUNTIFS('评估表'!$D$2:$D$241,$A20,'评估表'!$O$2:$O$241,"&lt;="&amp;VALUE(RIGHT($B$10,1)),'评估表'!$K$2:$K$241,"未满足")</f>
        <v>0</v>
      </c>
      <c r="J20" s="10">
        <f>COUNTIFS('评估表'!$D$2:$D$241,$A20,'评估表'!$O$2:$O$241,"&lt;="&amp;VALUE(RIGHT($B$10,1)),'评估表'!$K$2:$K$241,"不适用")</f>
        <v>0</v>
      </c>
      <c r="K20" s="10">
        <f>F20-SUM(G20:J20)</f>
        <v>14</v>
      </c>
      <c r="L20" s="11">
        <f>IF(F20-J20=0,"—",G20/(F20-J20))</f>
        <v>0</v>
      </c>
      <c r="M20" s="10" t="str">
        <f>IF(COUNTIFS('评估表'!$D$2:$D$241,$A20,'评估表'!$O$2:$O$241,"&lt;=1",'评估表'!$K$2:$K$241,"&lt;&gt;已满足",'评估表'!$K$2:$K$241,"&lt;&gt;不适用")&gt;0,"未达 L1",IF(COUNTIFS('评估表'!$D$2:$D$241,$A20,'评估表'!$O$2:$O$241,"&lt;=2",'评估表'!$K$2:$K$241,"&lt;&gt;已满足",'评估表'!$K$2:$K$241,"&lt;&gt;不适用")&gt;0,"L1",IF(COUNTIFS('评估表'!$D$2:$D$241,$A20,'评估表'!$O$2:$O$241,"&lt;=3",'评估表'!$K$2:$K$241,"&lt;&gt;已满足",'评估表'!$K$2:$K$241,"&lt;&gt;不适用")&gt;0,"L2","L3")))</f>
        <v>未达 L1</v>
      </c>
    </row>
    <row r="21" spans="1:13" x14ac:dyDescent="0.25">
      <c r="A21" s="9" t="s">
        <v>232</v>
      </c>
      <c r="B21" s="10">
        <f>COUNTIFS('评估表'!$D$2:$D$241,$A21,'评估表'!$F$2:$F$241,"L1")</f>
        <v>7</v>
      </c>
      <c r="C21" s="10">
        <f>COUNTIFS('评估表'!$D$2:$D$241,$A21,'评估表'!$F$2:$F$241,"L2")</f>
        <v>6</v>
      </c>
      <c r="D21" s="10">
        <f>COUNTIFS('评估表'!$D$2:$D$241,$A21,'评估表'!$F$2:$F$241,"L3")</f>
        <v>0</v>
      </c>
      <c r="E21" s="10">
        <f>SUM(B21:D21)</f>
        <v>13</v>
      </c>
      <c r="F21" s="10">
        <f>COUNTIFS('评估表'!$D$2:$D$241,$A21,'评估表'!$O$2:$O$241,"&lt;="&amp;VALUE(RIGHT($B$10,1)))</f>
        <v>13</v>
      </c>
      <c r="G21" s="10">
        <f>COUNTIFS('评估表'!$D$2:$D$241,$A21,'评估表'!$O$2:$O$241,"&lt;="&amp;VALUE(RIGHT($B$10,1)),'评估表'!$K$2:$K$241,"已满足")</f>
        <v>0</v>
      </c>
      <c r="H21" s="10">
        <f>COUNTIFS('评估表'!$D$2:$D$241,$A21,'评估表'!$O$2:$O$241,"&lt;="&amp;VALUE(RIGHT($B$10,1)),'评估表'!$K$2:$K$241,"部分满足")</f>
        <v>0</v>
      </c>
      <c r="I21" s="10">
        <f>COUNTIFS('评估表'!$D$2:$D$241,$A21,'评估表'!$O$2:$O$241,"&lt;="&amp;VALUE(RIGHT($B$10,1)),'评估表'!$K$2:$K$241,"未满足")</f>
        <v>0</v>
      </c>
      <c r="J21" s="10">
        <f>COUNTIFS('评估表'!$D$2:$D$241,$A21,'评估表'!$O$2:$O$241,"&lt;="&amp;VALUE(RIGHT($B$10,1)),'评估表'!$K$2:$K$241,"不适用")</f>
        <v>0</v>
      </c>
      <c r="K21" s="10">
        <f>F21-SUM(G21:J21)</f>
        <v>13</v>
      </c>
      <c r="L21" s="11">
        <f>IF(F21-J21=0,"—",G21/(F21-J21))</f>
        <v>0</v>
      </c>
      <c r="M21" s="10" t="str">
        <f>IF(COUNTIFS('评估表'!$D$2:$D$241,$A21,'评估表'!$O$2:$O$241,"&lt;=1",'评估表'!$K$2:$K$241,"&lt;&gt;已满足",'评估表'!$K$2:$K$241,"&lt;&gt;不适用")&gt;0,"未达 L1",IF(COUNTIFS('评估表'!$D$2:$D$241,$A21,'评估表'!$O$2:$O$241,"&lt;=2",'评估表'!$K$2:$K$241,"&lt;&gt;已满足",'评估表'!$K$2:$K$241,"&lt;&gt;不适用")&gt;0,"L1",IF(COUNTIFS('评估表'!$D$2:$D$241,$A21,'评估表'!$O$2:$O$241,"&lt;=3",'评估表'!$K$2:$K$241,"&lt;&gt;已满足",'评估表'!$K$2:$K$241,"&lt;&gt;不适用")&gt;0,"L2","L3")))</f>
        <v>未达 L1</v>
      </c>
    </row>
    <row r="22" spans="1:13" x14ac:dyDescent="0.25">
      <c r="A22" s="9" t="s">
        <v>111</v>
      </c>
      <c r="B22" s="10">
        <f>COUNTIFS('评估表'!$D$2:$D$241,$A22,'评估表'!$F$2:$F$241,"L1")</f>
        <v>13</v>
      </c>
      <c r="C22" s="10">
        <f>COUNTIFS('评估表'!$D$2:$D$241,$A22,'评估表'!$F$2:$F$241,"L2")</f>
        <v>26</v>
      </c>
      <c r="D22" s="10">
        <f>COUNTIFS('评估表'!$D$2:$D$241,$A22,'评估表'!$F$2:$F$241,"L3")</f>
        <v>1</v>
      </c>
      <c r="E22" s="10">
        <f>SUM(B22:D22)</f>
        <v>40</v>
      </c>
      <c r="F22" s="10">
        <f>COUNTIFS('评估表'!$D$2:$D$241,$A22,'评估表'!$O$2:$O$241,"&lt;="&amp;VALUE(RIGHT($B$10,1)))</f>
        <v>39</v>
      </c>
      <c r="G22" s="10">
        <f>COUNTIFS('评估表'!$D$2:$D$241,$A22,'评估表'!$O$2:$O$241,"&lt;="&amp;VALUE(RIGHT($B$10,1)),'评估表'!$K$2:$K$241,"已满足")</f>
        <v>0</v>
      </c>
      <c r="H22" s="10">
        <f>COUNTIFS('评估表'!$D$2:$D$241,$A22,'评估表'!$O$2:$O$241,"&lt;="&amp;VALUE(RIGHT($B$10,1)),'评估表'!$K$2:$K$241,"部分满足")</f>
        <v>0</v>
      </c>
      <c r="I22" s="10">
        <f>COUNTIFS('评估表'!$D$2:$D$241,$A22,'评估表'!$O$2:$O$241,"&lt;="&amp;VALUE(RIGHT($B$10,1)),'评估表'!$K$2:$K$241,"未满足")</f>
        <v>0</v>
      </c>
      <c r="J22" s="10">
        <f>COUNTIFS('评估表'!$D$2:$D$241,$A22,'评估表'!$O$2:$O$241,"&lt;="&amp;VALUE(RIGHT($B$10,1)),'评估表'!$K$2:$K$241,"不适用")</f>
        <v>0</v>
      </c>
      <c r="K22" s="10">
        <f>F22-SUM(G22:J22)</f>
        <v>39</v>
      </c>
      <c r="L22" s="11">
        <f>IF(F22-J22=0,"—",G22/(F22-J22))</f>
        <v>0</v>
      </c>
      <c r="M22" s="10" t="str">
        <f>IF(COUNTIFS('评估表'!$D$2:$D$241,$A22,'评估表'!$O$2:$O$241,"&lt;=1",'评估表'!$K$2:$K$241,"&lt;&gt;已满足",'评估表'!$K$2:$K$241,"&lt;&gt;不适用")&gt;0,"未达 L1",IF(COUNTIFS('评估表'!$D$2:$D$241,$A22,'评估表'!$O$2:$O$241,"&lt;=2",'评估表'!$K$2:$K$241,"&lt;&gt;已满足",'评估表'!$K$2:$K$241,"&lt;&gt;不适用")&gt;0,"L1",IF(COUNTIFS('评估表'!$D$2:$D$241,$A22,'评估表'!$O$2:$O$241,"&lt;=3",'评估表'!$K$2:$K$241,"&lt;&gt;已满足",'评估表'!$K$2:$K$241,"&lt;&gt;不适用")&gt;0,"L2","L3")))</f>
        <v>未达 L1</v>
      </c>
    </row>
    <row r="23" spans="1:13" x14ac:dyDescent="0.25">
      <c r="A23" s="9" t="s">
        <v>79</v>
      </c>
      <c r="B23" s="10">
        <f>COUNTIFS('评估表'!$D$2:$D$241,$A23,'评估表'!$F$2:$F$241,"L1")</f>
        <v>4</v>
      </c>
      <c r="C23" s="10">
        <f>COUNTIFS('评估表'!$D$2:$D$241,$A23,'评估表'!$F$2:$F$241,"L2")</f>
        <v>14</v>
      </c>
      <c r="D23" s="10">
        <f>COUNTIFS('评估表'!$D$2:$D$241,$A23,'评估表'!$F$2:$F$241,"L3")</f>
        <v>2</v>
      </c>
      <c r="E23" s="10">
        <f>SUM(B23:D23)</f>
        <v>20</v>
      </c>
      <c r="F23" s="10">
        <f>COUNTIFS('评估表'!$D$2:$D$241,$A23,'评估表'!$O$2:$O$241,"&lt;="&amp;VALUE(RIGHT($B$10,1)))</f>
        <v>18</v>
      </c>
      <c r="G23" s="10">
        <f>COUNTIFS('评估表'!$D$2:$D$241,$A23,'评估表'!$O$2:$O$241,"&lt;="&amp;VALUE(RIGHT($B$10,1)),'评估表'!$K$2:$K$241,"已满足")</f>
        <v>0</v>
      </c>
      <c r="H23" s="10">
        <f>COUNTIFS('评估表'!$D$2:$D$241,$A23,'评估表'!$O$2:$O$241,"&lt;="&amp;VALUE(RIGHT($B$10,1)),'评估表'!$K$2:$K$241,"部分满足")</f>
        <v>0</v>
      </c>
      <c r="I23" s="10">
        <f>COUNTIFS('评估表'!$D$2:$D$241,$A23,'评估表'!$O$2:$O$241,"&lt;="&amp;VALUE(RIGHT($B$10,1)),'评估表'!$K$2:$K$241,"未满足")</f>
        <v>0</v>
      </c>
      <c r="J23" s="10">
        <f>COUNTIFS('评估表'!$D$2:$D$241,$A23,'评估表'!$O$2:$O$241,"&lt;="&amp;VALUE(RIGHT($B$10,1)),'评估表'!$K$2:$K$241,"不适用")</f>
        <v>0</v>
      </c>
      <c r="K23" s="10">
        <f>F23-SUM(G23:J23)</f>
        <v>18</v>
      </c>
      <c r="L23" s="11">
        <f>IF(F23-J23=0,"—",G23/(F23-J23))</f>
        <v>0</v>
      </c>
      <c r="M23" s="10" t="str">
        <f>IF(COUNTIFS('评估表'!$D$2:$D$241,$A23,'评估表'!$O$2:$O$241,"&lt;=1",'评估表'!$K$2:$K$241,"&lt;&gt;已满足",'评估表'!$K$2:$K$241,"&lt;&gt;不适用")&gt;0,"未达 L1",IF(COUNTIFS('评估表'!$D$2:$D$241,$A23,'评估表'!$O$2:$O$241,"&lt;=2",'评估表'!$K$2:$K$241,"&lt;&gt;已满足",'评估表'!$K$2:$K$241,"&lt;&gt;不适用")&gt;0,"L1",IF(COUNTIFS('评估表'!$D$2:$D$241,$A23,'评估表'!$O$2:$O$241,"&lt;=3",'评估表'!$K$2:$K$241,"&lt;&gt;已满足",'评估表'!$K$2:$K$241,"&lt;&gt;不适用")&gt;0,"L2","L3")))</f>
        <v>未达 L1</v>
      </c>
    </row>
    <row r="24" spans="1:13" x14ac:dyDescent="0.25">
      <c r="A24" s="16" t="s">
        <v>623</v>
      </c>
      <c r="B24" s="17">
        <f>SUM(B14:B23)</f>
        <v>90</v>
      </c>
      <c r="C24" s="17">
        <f>SUM(C14:C23)</f>
        <v>137</v>
      </c>
      <c r="D24" s="17">
        <f>SUM(D14:D23)</f>
        <v>13</v>
      </c>
      <c r="E24" s="17">
        <f>SUM(E14:E23)</f>
        <v>240</v>
      </c>
      <c r="F24" s="17">
        <f>SUM(F14:F23)</f>
        <v>227</v>
      </c>
      <c r="G24" s="17">
        <f>SUM(G14:G23)</f>
        <v>0</v>
      </c>
      <c r="H24" s="17">
        <f>SUM(H14:H23)</f>
        <v>0</v>
      </c>
      <c r="I24" s="17">
        <f>SUM(I14:I23)</f>
        <v>0</v>
      </c>
      <c r="J24" s="17">
        <f>SUM(J14:J23)</f>
        <v>0</v>
      </c>
      <c r="K24" s="17">
        <f>SUM(K14:K23)</f>
        <v>227</v>
      </c>
      <c r="L24" s="18">
        <f>IF(F24-J24=0,"—",G24/(F24-J24))</f>
        <v>0</v>
      </c>
      <c r="M24" s="17" t="str">
        <f>IF(COUNTIFS('评估表'!$O$2:$O$241,"&lt;=1",'评估表'!$K$2:$K$241,"&lt;&gt;已满足",'评估表'!$K$2:$K$241,"&lt;&gt;不适用")&gt;0,"未达 L1",IF(COUNTIFS('评估表'!$O$2:$O$241,"&lt;=2",'评估表'!$K$2:$K$241,"&lt;&gt;已满足",'评估表'!$K$2:$K$241,"&lt;&gt;不适用")&gt;0,"L1",IF(COUNTIFS('评估表'!$O$2:$O$241,"&lt;=3",'评估表'!$K$2:$K$241,"&lt;&gt;已满足",'评估表'!$K$2:$K$241,"&lt;&gt;不适用")&gt;0,"L2","L3")))</f>
        <v>未达 L1</v>
      </c>
    </row>
    <row r="27" spans="1:1" x14ac:dyDescent="0.25">
      <c r="A27" s="14" t="s">
        <v>626</v>
      </c>
    </row>
    <row r="28" ht="30" customHeight="1" spans="1:13" x14ac:dyDescent="0.25">
      <c r="A28" s="1" t="s">
        <v>1</v>
      </c>
      <c r="B28" s="1" t="s">
        <v>6</v>
      </c>
      <c r="C28" s="1" t="s">
        <v>621</v>
      </c>
      <c r="D28" s="1" t="s">
        <v>622</v>
      </c>
      <c r="E28" s="1" t="s">
        <v>623</v>
      </c>
      <c r="F28" s="15" t="s">
        <v>624</v>
      </c>
      <c r="G28" s="15" t="s">
        <v>608</v>
      </c>
      <c r="H28" s="15" t="s">
        <v>609</v>
      </c>
      <c r="I28" s="15" t="s">
        <v>610</v>
      </c>
      <c r="J28" s="15" t="s">
        <v>611</v>
      </c>
      <c r="K28" s="15" t="s">
        <v>22</v>
      </c>
      <c r="L28" s="15" t="s">
        <v>612</v>
      </c>
      <c r="M28" s="15" t="s">
        <v>625</v>
      </c>
    </row>
    <row r="29" spans="1:13" x14ac:dyDescent="0.25">
      <c r="A29" s="9" t="s">
        <v>16</v>
      </c>
      <c r="B29" s="10">
        <f>COUNTIFS('评估表'!$B$2:$B$241,$A29,'评估表'!$F$2:$F$241,"L1")</f>
        <v>11</v>
      </c>
      <c r="C29" s="10">
        <f>COUNTIFS('评估表'!$B$2:$B$241,$A29,'评估表'!$F$2:$F$241,"L2")</f>
        <v>11</v>
      </c>
      <c r="D29" s="10">
        <f>COUNTIFS('评估表'!$B$2:$B$241,$A29,'评估表'!$F$2:$F$241,"L3")</f>
        <v>1</v>
      </c>
      <c r="E29" s="10">
        <f>SUM(B29:D29)</f>
        <v>23</v>
      </c>
      <c r="F29" s="10">
        <f>COUNTIFS('评估表'!$B$2:$B$241,$A29,'评估表'!$O$2:$O$241,"&lt;="&amp;VALUE(RIGHT($B$10,1)))</f>
        <v>22</v>
      </c>
      <c r="G29" s="10">
        <f>COUNTIFS('评估表'!$B$2:$B$241,$A29,'评估表'!$O$2:$O$241,"&lt;="&amp;VALUE(RIGHT($B$10,1)),'评估表'!$K$2:$K$241,"已满足")</f>
        <v>0</v>
      </c>
      <c r="H29" s="10">
        <f>COUNTIFS('评估表'!$B$2:$B$241,$A29,'评估表'!$O$2:$O$241,"&lt;="&amp;VALUE(RIGHT($B$10,1)),'评估表'!$K$2:$K$241,"部分满足")</f>
        <v>0</v>
      </c>
      <c r="I29" s="10">
        <f>COUNTIFS('评估表'!$B$2:$B$241,$A29,'评估表'!$O$2:$O$241,"&lt;="&amp;VALUE(RIGHT($B$10,1)),'评估表'!$K$2:$K$241,"未满足")</f>
        <v>0</v>
      </c>
      <c r="J29" s="10">
        <f>COUNTIFS('评估表'!$B$2:$B$241,$A29,'评估表'!$O$2:$O$241,"&lt;="&amp;VALUE(RIGHT($B$10,1)),'评估表'!$K$2:$K$241,"不适用")</f>
        <v>0</v>
      </c>
      <c r="K29" s="10">
        <f>F29-SUM(G29:J29)</f>
        <v>22</v>
      </c>
      <c r="L29" s="11">
        <f>IF(F29-J29=0,"—",G29/(F29-J29))</f>
        <v>0</v>
      </c>
      <c r="M29" s="10" t="str">
        <f>IF(COUNTIFS('评估表'!$B$2:$B$241,$A29,'评估表'!$O$2:$O$241,"&lt;=1",'评估表'!$K$2:$K$241,"&lt;&gt;已满足",'评估表'!$K$2:$K$241,"&lt;&gt;不适用")&gt;0,"未达 L1",IF(COUNTIFS('评估表'!$B$2:$B$241,$A29,'评估表'!$O$2:$O$241,"&lt;=2",'评估表'!$K$2:$K$241,"&lt;&gt;已满足",'评估表'!$K$2:$K$241,"&lt;&gt;不适用")&gt;0,"L1",IF(COUNTIFS('评估表'!$B$2:$B$241,$A29,'评估表'!$O$2:$O$241,"&lt;=3",'评估表'!$K$2:$K$241,"&lt;&gt;已满足",'评估表'!$K$2:$K$241,"&lt;&gt;不适用")&gt;0,"L2","L3")))</f>
        <v>未达 L1</v>
      </c>
    </row>
    <row r="30" spans="1:13" x14ac:dyDescent="0.25">
      <c r="A30" s="9" t="s">
        <v>82</v>
      </c>
      <c r="B30" s="10">
        <f>COUNTIFS('评估表'!$B$2:$B$241,$A30,'评估表'!$F$2:$F$241,"L1")</f>
        <v>11</v>
      </c>
      <c r="C30" s="10">
        <f>COUNTIFS('评估表'!$B$2:$B$241,$A30,'评估表'!$F$2:$F$241,"L2")</f>
        <v>14</v>
      </c>
      <c r="D30" s="10">
        <f>COUNTIFS('评估表'!$B$2:$B$241,$A30,'评估表'!$F$2:$F$241,"L3")</f>
        <v>3</v>
      </c>
      <c r="E30" s="10">
        <f>SUM(B30:D30)</f>
        <v>28</v>
      </c>
      <c r="F30" s="10">
        <f>COUNTIFS('评估表'!$B$2:$B$241,$A30,'评估表'!$O$2:$O$241,"&lt;="&amp;VALUE(RIGHT($B$10,1)))</f>
        <v>25</v>
      </c>
      <c r="G30" s="10">
        <f>COUNTIFS('评估表'!$B$2:$B$241,$A30,'评估表'!$O$2:$O$241,"&lt;="&amp;VALUE(RIGHT($B$10,1)),'评估表'!$K$2:$K$241,"已满足")</f>
        <v>0</v>
      </c>
      <c r="H30" s="10">
        <f>COUNTIFS('评估表'!$B$2:$B$241,$A30,'评估表'!$O$2:$O$241,"&lt;="&amp;VALUE(RIGHT($B$10,1)),'评估表'!$K$2:$K$241,"部分满足")</f>
        <v>0</v>
      </c>
      <c r="I30" s="10">
        <f>COUNTIFS('评估表'!$B$2:$B$241,$A30,'评估表'!$O$2:$O$241,"&lt;="&amp;VALUE(RIGHT($B$10,1)),'评估表'!$K$2:$K$241,"未满足")</f>
        <v>0</v>
      </c>
      <c r="J30" s="10">
        <f>COUNTIFS('评估表'!$B$2:$B$241,$A30,'评估表'!$O$2:$O$241,"&lt;="&amp;VALUE(RIGHT($B$10,1)),'评估表'!$K$2:$K$241,"不适用")</f>
        <v>0</v>
      </c>
      <c r="K30" s="10">
        <f>F30-SUM(G30:J30)</f>
        <v>25</v>
      </c>
      <c r="L30" s="11">
        <f>IF(F30-J30=0,"—",G30/(F30-J30))</f>
        <v>0</v>
      </c>
      <c r="M30" s="10" t="str">
        <f>IF(COUNTIFS('评估表'!$B$2:$B$241,$A30,'评估表'!$O$2:$O$241,"&lt;=1",'评估表'!$K$2:$K$241,"&lt;&gt;已满足",'评估表'!$K$2:$K$241,"&lt;&gt;不适用")&gt;0,"未达 L1",IF(COUNTIFS('评估表'!$B$2:$B$241,$A30,'评估表'!$O$2:$O$241,"&lt;=2",'评估表'!$K$2:$K$241,"&lt;&gt;已满足",'评估表'!$K$2:$K$241,"&lt;&gt;不适用")&gt;0,"L1",IF(COUNTIFS('评估表'!$B$2:$B$241,$A30,'评估表'!$O$2:$O$241,"&lt;=3",'评估表'!$K$2:$K$241,"&lt;&gt;已满足",'评估表'!$K$2:$K$241,"&lt;&gt;不适用")&gt;0,"L2","L3")))</f>
        <v>未达 L1</v>
      </c>
    </row>
    <row r="31" spans="1:13" x14ac:dyDescent="0.25">
      <c r="A31" s="9" t="s">
        <v>150</v>
      </c>
      <c r="B31" s="10">
        <f>COUNTIFS('评估表'!$B$2:$B$241,$A31,'评估表'!$F$2:$F$241,"L1")</f>
        <v>9</v>
      </c>
      <c r="C31" s="10">
        <f>COUNTIFS('评估表'!$B$2:$B$241,$A31,'评估表'!$F$2:$F$241,"L2")</f>
        <v>16</v>
      </c>
      <c r="D31" s="10">
        <f>COUNTIFS('评估表'!$B$2:$B$241,$A31,'评估表'!$F$2:$F$241,"L3")</f>
        <v>2</v>
      </c>
      <c r="E31" s="10">
        <f>SUM(B31:D31)</f>
        <v>27</v>
      </c>
      <c r="F31" s="10">
        <f>COUNTIFS('评估表'!$B$2:$B$241,$A31,'评估表'!$O$2:$O$241,"&lt;="&amp;VALUE(RIGHT($B$10,1)))</f>
        <v>25</v>
      </c>
      <c r="G31" s="10">
        <f>COUNTIFS('评估表'!$B$2:$B$241,$A31,'评估表'!$O$2:$O$241,"&lt;="&amp;VALUE(RIGHT($B$10,1)),'评估表'!$K$2:$K$241,"已满足")</f>
        <v>0</v>
      </c>
      <c r="H31" s="10">
        <f>COUNTIFS('评估表'!$B$2:$B$241,$A31,'评估表'!$O$2:$O$241,"&lt;="&amp;VALUE(RIGHT($B$10,1)),'评估表'!$K$2:$K$241,"部分满足")</f>
        <v>0</v>
      </c>
      <c r="I31" s="10">
        <f>COUNTIFS('评估表'!$B$2:$B$241,$A31,'评估表'!$O$2:$O$241,"&lt;="&amp;VALUE(RIGHT($B$10,1)),'评估表'!$K$2:$K$241,"未满足")</f>
        <v>0</v>
      </c>
      <c r="J31" s="10">
        <f>COUNTIFS('评估表'!$B$2:$B$241,$A31,'评估表'!$O$2:$O$241,"&lt;="&amp;VALUE(RIGHT($B$10,1)),'评估表'!$K$2:$K$241,"不适用")</f>
        <v>0</v>
      </c>
      <c r="K31" s="10">
        <f>F31-SUM(G31:J31)</f>
        <v>25</v>
      </c>
      <c r="L31" s="11">
        <f>IF(F31-J31=0,"—",G31/(F31-J31))</f>
        <v>0</v>
      </c>
      <c r="M31" s="10" t="str">
        <f>IF(COUNTIFS('评估表'!$B$2:$B$241,$A31,'评估表'!$O$2:$O$241,"&lt;=1",'评估表'!$K$2:$K$241,"&lt;&gt;已满足",'评估表'!$K$2:$K$241,"&lt;&gt;不适用")&gt;0,"未达 L1",IF(COUNTIFS('评估表'!$B$2:$B$241,$A31,'评估表'!$O$2:$O$241,"&lt;=2",'评估表'!$K$2:$K$241,"&lt;&gt;已满足",'评估表'!$K$2:$K$241,"&lt;&gt;不适用")&gt;0,"L1",IF(COUNTIFS('评估表'!$B$2:$B$241,$A31,'评估表'!$O$2:$O$241,"&lt;=3",'评估表'!$K$2:$K$241,"&lt;&gt;已满足",'评估表'!$K$2:$K$241,"&lt;&gt;不适用")&gt;0,"L2","L3")))</f>
        <v>未达 L1</v>
      </c>
    </row>
    <row r="32" spans="1:13" x14ac:dyDescent="0.25">
      <c r="A32" s="9" t="s">
        <v>213</v>
      </c>
      <c r="B32" s="10">
        <f>COUNTIFS('评估表'!$B$2:$B$241,$A32,'评估表'!$F$2:$F$241,"L1")</f>
        <v>14</v>
      </c>
      <c r="C32" s="10">
        <f>COUNTIFS('评估表'!$B$2:$B$241,$A32,'评估表'!$F$2:$F$241,"L2")</f>
        <v>18</v>
      </c>
      <c r="D32" s="10">
        <f>COUNTIFS('评估表'!$B$2:$B$241,$A32,'评估表'!$F$2:$F$241,"L3")</f>
        <v>1</v>
      </c>
      <c r="E32" s="10">
        <f>SUM(B32:D32)</f>
        <v>33</v>
      </c>
      <c r="F32" s="10">
        <f>COUNTIFS('评估表'!$B$2:$B$241,$A32,'评估表'!$O$2:$O$241,"&lt;="&amp;VALUE(RIGHT($B$10,1)))</f>
        <v>32</v>
      </c>
      <c r="G32" s="10">
        <f>COUNTIFS('评估表'!$B$2:$B$241,$A32,'评估表'!$O$2:$O$241,"&lt;="&amp;VALUE(RIGHT($B$10,1)),'评估表'!$K$2:$K$241,"已满足")</f>
        <v>0</v>
      </c>
      <c r="H32" s="10">
        <f>COUNTIFS('评估表'!$B$2:$B$241,$A32,'评估表'!$O$2:$O$241,"&lt;="&amp;VALUE(RIGHT($B$10,1)),'评估表'!$K$2:$K$241,"部分满足")</f>
        <v>0</v>
      </c>
      <c r="I32" s="10">
        <f>COUNTIFS('评估表'!$B$2:$B$241,$A32,'评估表'!$O$2:$O$241,"&lt;="&amp;VALUE(RIGHT($B$10,1)),'评估表'!$K$2:$K$241,"未满足")</f>
        <v>0</v>
      </c>
      <c r="J32" s="10">
        <f>COUNTIFS('评估表'!$B$2:$B$241,$A32,'评估表'!$O$2:$O$241,"&lt;="&amp;VALUE(RIGHT($B$10,1)),'评估表'!$K$2:$K$241,"不适用")</f>
        <v>0</v>
      </c>
      <c r="K32" s="10">
        <f>F32-SUM(G32:J32)</f>
        <v>32</v>
      </c>
      <c r="L32" s="11">
        <f>IF(F32-J32=0,"—",G32/(F32-J32))</f>
        <v>0</v>
      </c>
      <c r="M32" s="10" t="str">
        <f>IF(COUNTIFS('评估表'!$B$2:$B$241,$A32,'评估表'!$O$2:$O$241,"&lt;=1",'评估表'!$K$2:$K$241,"&lt;&gt;已满足",'评估表'!$K$2:$K$241,"&lt;&gt;不适用")&gt;0,"未达 L1",IF(COUNTIFS('评估表'!$B$2:$B$241,$A32,'评估表'!$O$2:$O$241,"&lt;=2",'评估表'!$K$2:$K$241,"&lt;&gt;已满足",'评估表'!$K$2:$K$241,"&lt;&gt;不适用")&gt;0,"L1",IF(COUNTIFS('评估表'!$B$2:$B$241,$A32,'评估表'!$O$2:$O$241,"&lt;=3",'评估表'!$K$2:$K$241,"&lt;&gt;已满足",'评估表'!$K$2:$K$241,"&lt;&gt;不适用")&gt;0,"L2","L3")))</f>
        <v>未达 L1</v>
      </c>
    </row>
    <row r="33" spans="1:13" x14ac:dyDescent="0.25">
      <c r="A33" s="9" t="s">
        <v>290</v>
      </c>
      <c r="B33" s="10">
        <f>COUNTIFS('评估表'!$B$2:$B$241,$A33,'评估表'!$F$2:$F$241,"L1")</f>
        <v>16</v>
      </c>
      <c r="C33" s="10">
        <f>COUNTIFS('评估表'!$B$2:$B$241,$A33,'评估表'!$F$2:$F$241,"L2")</f>
        <v>11</v>
      </c>
      <c r="D33" s="10">
        <f>COUNTIFS('评估表'!$B$2:$B$241,$A33,'评估表'!$F$2:$F$241,"L3")</f>
        <v>0</v>
      </c>
      <c r="E33" s="10">
        <f>SUM(B33:D33)</f>
        <v>27</v>
      </c>
      <c r="F33" s="10">
        <f>COUNTIFS('评估表'!$B$2:$B$241,$A33,'评估表'!$O$2:$O$241,"&lt;="&amp;VALUE(RIGHT($B$10,1)))</f>
        <v>27</v>
      </c>
      <c r="G33" s="10">
        <f>COUNTIFS('评估表'!$B$2:$B$241,$A33,'评估表'!$O$2:$O$241,"&lt;="&amp;VALUE(RIGHT($B$10,1)),'评估表'!$K$2:$K$241,"已满足")</f>
        <v>0</v>
      </c>
      <c r="H33" s="10">
        <f>COUNTIFS('评估表'!$B$2:$B$241,$A33,'评估表'!$O$2:$O$241,"&lt;="&amp;VALUE(RIGHT($B$10,1)),'评估表'!$K$2:$K$241,"部分满足")</f>
        <v>0</v>
      </c>
      <c r="I33" s="10">
        <f>COUNTIFS('评估表'!$B$2:$B$241,$A33,'评估表'!$O$2:$O$241,"&lt;="&amp;VALUE(RIGHT($B$10,1)),'评估表'!$K$2:$K$241,"未满足")</f>
        <v>0</v>
      </c>
      <c r="J33" s="10">
        <f>COUNTIFS('评估表'!$B$2:$B$241,$A33,'评估表'!$O$2:$O$241,"&lt;="&amp;VALUE(RIGHT($B$10,1)),'评估表'!$K$2:$K$241,"不适用")</f>
        <v>0</v>
      </c>
      <c r="K33" s="10">
        <f>F33-SUM(G33:J33)</f>
        <v>27</v>
      </c>
      <c r="L33" s="11">
        <f>IF(F33-J33=0,"—",G33/(F33-J33))</f>
        <v>0</v>
      </c>
      <c r="M33" s="10" t="str">
        <f>IF(COUNTIFS('评估表'!$B$2:$B$241,$A33,'评估表'!$O$2:$O$241,"&lt;=1",'评估表'!$K$2:$K$241,"&lt;&gt;已满足",'评估表'!$K$2:$K$241,"&lt;&gt;不适用")&gt;0,"未达 L1",IF(COUNTIFS('评估表'!$B$2:$B$241,$A33,'评估表'!$O$2:$O$241,"&lt;=2",'评估表'!$K$2:$K$241,"&lt;&gt;已满足",'评估表'!$K$2:$K$241,"&lt;&gt;不适用")&gt;0,"L1",IF(COUNTIFS('评估表'!$B$2:$B$241,$A33,'评估表'!$O$2:$O$241,"&lt;=3",'评估表'!$K$2:$K$241,"&lt;&gt;已满足",'评估表'!$K$2:$K$241,"&lt;&gt;不适用")&gt;0,"L2","L3")))</f>
        <v>未达 L1</v>
      </c>
    </row>
    <row r="34" spans="1:13" x14ac:dyDescent="0.25">
      <c r="A34" s="9" t="s">
        <v>356</v>
      </c>
      <c r="B34" s="10">
        <f>COUNTIFS('评估表'!$B$2:$B$241,$A34,'评估表'!$F$2:$F$241,"L1")</f>
        <v>4</v>
      </c>
      <c r="C34" s="10">
        <f>COUNTIFS('评估表'!$B$2:$B$241,$A34,'评估表'!$F$2:$F$241,"L2")</f>
        <v>8</v>
      </c>
      <c r="D34" s="10">
        <f>COUNTIFS('评估表'!$B$2:$B$241,$A34,'评估表'!$F$2:$F$241,"L3")</f>
        <v>1</v>
      </c>
      <c r="E34" s="10">
        <f>SUM(B34:D34)</f>
        <v>13</v>
      </c>
      <c r="F34" s="10">
        <f>COUNTIFS('评估表'!$B$2:$B$241,$A34,'评估表'!$O$2:$O$241,"&lt;="&amp;VALUE(RIGHT($B$10,1)))</f>
        <v>12</v>
      </c>
      <c r="G34" s="10">
        <f>COUNTIFS('评估表'!$B$2:$B$241,$A34,'评估表'!$O$2:$O$241,"&lt;="&amp;VALUE(RIGHT($B$10,1)),'评估表'!$K$2:$K$241,"已满足")</f>
        <v>0</v>
      </c>
      <c r="H34" s="10">
        <f>COUNTIFS('评估表'!$B$2:$B$241,$A34,'评估表'!$O$2:$O$241,"&lt;="&amp;VALUE(RIGHT($B$10,1)),'评估表'!$K$2:$K$241,"部分满足")</f>
        <v>0</v>
      </c>
      <c r="I34" s="10">
        <f>COUNTIFS('评估表'!$B$2:$B$241,$A34,'评估表'!$O$2:$O$241,"&lt;="&amp;VALUE(RIGHT($B$10,1)),'评估表'!$K$2:$K$241,"未满足")</f>
        <v>0</v>
      </c>
      <c r="J34" s="10">
        <f>COUNTIFS('评估表'!$B$2:$B$241,$A34,'评估表'!$O$2:$O$241,"&lt;="&amp;VALUE(RIGHT($B$10,1)),'评估表'!$K$2:$K$241,"不适用")</f>
        <v>0</v>
      </c>
      <c r="K34" s="10">
        <f>F34-SUM(G34:J34)</f>
        <v>12</v>
      </c>
      <c r="L34" s="11">
        <f>IF(F34-J34=0,"—",G34/(F34-J34))</f>
        <v>0</v>
      </c>
      <c r="M34" s="10" t="str">
        <f>IF(COUNTIFS('评估表'!$B$2:$B$241,$A34,'评估表'!$O$2:$O$241,"&lt;=1",'评估表'!$K$2:$K$241,"&lt;&gt;已满足",'评估表'!$K$2:$K$241,"&lt;&gt;不适用")&gt;0,"未达 L1",IF(COUNTIFS('评估表'!$B$2:$B$241,$A34,'评估表'!$O$2:$O$241,"&lt;=2",'评估表'!$K$2:$K$241,"&lt;&gt;已满足",'评估表'!$K$2:$K$241,"&lt;&gt;不适用")&gt;0,"L1",IF(COUNTIFS('评估表'!$B$2:$B$241,$A34,'评估表'!$O$2:$O$241,"&lt;=3",'评估表'!$K$2:$K$241,"&lt;&gt;已满足",'评估表'!$K$2:$K$241,"&lt;&gt;不适用")&gt;0,"L2","L3")))</f>
        <v>未达 L1</v>
      </c>
    </row>
    <row r="35" spans="1:13" x14ac:dyDescent="0.25">
      <c r="A35" s="9" t="s">
        <v>388</v>
      </c>
      <c r="B35" s="10">
        <f>COUNTIFS('评估表'!$B$2:$B$241,$A35,'评估表'!$F$2:$F$241,"L1")</f>
        <v>6</v>
      </c>
      <c r="C35" s="10">
        <f>COUNTIFS('评估表'!$B$2:$B$241,$A35,'评估表'!$F$2:$F$241,"L2")</f>
        <v>12</v>
      </c>
      <c r="D35" s="10">
        <f>COUNTIFS('评估表'!$B$2:$B$241,$A35,'评估表'!$F$2:$F$241,"L3")</f>
        <v>0</v>
      </c>
      <c r="E35" s="10">
        <f>SUM(B35:D35)</f>
        <v>18</v>
      </c>
      <c r="F35" s="10">
        <f>COUNTIFS('评估表'!$B$2:$B$241,$A35,'评估表'!$O$2:$O$241,"&lt;="&amp;VALUE(RIGHT($B$10,1)))</f>
        <v>18</v>
      </c>
      <c r="G35" s="10">
        <f>COUNTIFS('评估表'!$B$2:$B$241,$A35,'评估表'!$O$2:$O$241,"&lt;="&amp;VALUE(RIGHT($B$10,1)),'评估表'!$K$2:$K$241,"已满足")</f>
        <v>0</v>
      </c>
      <c r="H35" s="10">
        <f>COUNTIFS('评估表'!$B$2:$B$241,$A35,'评估表'!$O$2:$O$241,"&lt;="&amp;VALUE(RIGHT($B$10,1)),'评估表'!$K$2:$K$241,"部分满足")</f>
        <v>0</v>
      </c>
      <c r="I35" s="10">
        <f>COUNTIFS('评估表'!$B$2:$B$241,$A35,'评估表'!$O$2:$O$241,"&lt;="&amp;VALUE(RIGHT($B$10,1)),'评估表'!$K$2:$K$241,"未满足")</f>
        <v>0</v>
      </c>
      <c r="J35" s="10">
        <f>COUNTIFS('评估表'!$B$2:$B$241,$A35,'评估表'!$O$2:$O$241,"&lt;="&amp;VALUE(RIGHT($B$10,1)),'评估表'!$K$2:$K$241,"不适用")</f>
        <v>0</v>
      </c>
      <c r="K35" s="10">
        <f>F35-SUM(G35:J35)</f>
        <v>18</v>
      </c>
      <c r="L35" s="11">
        <f>IF(F35-J35=0,"—",G35/(F35-J35))</f>
        <v>0</v>
      </c>
      <c r="M35" s="10" t="str">
        <f>IF(COUNTIFS('评估表'!$B$2:$B$241,$A35,'评估表'!$O$2:$O$241,"&lt;=1",'评估表'!$K$2:$K$241,"&lt;&gt;已满足",'评估表'!$K$2:$K$241,"&lt;&gt;不适用")&gt;0,"未达 L1",IF(COUNTIFS('评估表'!$B$2:$B$241,$A35,'评估表'!$O$2:$O$241,"&lt;=2",'评估表'!$K$2:$K$241,"&lt;&gt;已满足",'评估表'!$K$2:$K$241,"&lt;&gt;不适用")&gt;0,"L1",IF(COUNTIFS('评估表'!$B$2:$B$241,$A35,'评估表'!$O$2:$O$241,"&lt;=3",'评估表'!$K$2:$K$241,"&lt;&gt;已满足",'评估表'!$K$2:$K$241,"&lt;&gt;不适用")&gt;0,"L2","L3")))</f>
        <v>未达 L1</v>
      </c>
    </row>
    <row r="36" spans="1:13" x14ac:dyDescent="0.25">
      <c r="A36" s="9" t="s">
        <v>436</v>
      </c>
      <c r="B36" s="10">
        <f>COUNTIFS('评估表'!$B$2:$B$241,$A36,'评估表'!$F$2:$F$241,"L1")</f>
        <v>5</v>
      </c>
      <c r="C36" s="10">
        <f>COUNTIFS('评估表'!$B$2:$B$241,$A36,'评估表'!$F$2:$F$241,"L2")</f>
        <v>16</v>
      </c>
      <c r="D36" s="10">
        <f>COUNTIFS('评估表'!$B$2:$B$241,$A36,'评估表'!$F$2:$F$241,"L3")</f>
        <v>1</v>
      </c>
      <c r="E36" s="10">
        <f>SUM(B36:D36)</f>
        <v>22</v>
      </c>
      <c r="F36" s="10">
        <f>COUNTIFS('评估表'!$B$2:$B$241,$A36,'评估表'!$O$2:$O$241,"&lt;="&amp;VALUE(RIGHT($B$10,1)))</f>
        <v>21</v>
      </c>
      <c r="G36" s="10">
        <f>COUNTIFS('评估表'!$B$2:$B$241,$A36,'评估表'!$O$2:$O$241,"&lt;="&amp;VALUE(RIGHT($B$10,1)),'评估表'!$K$2:$K$241,"已满足")</f>
        <v>0</v>
      </c>
      <c r="H36" s="10">
        <f>COUNTIFS('评估表'!$B$2:$B$241,$A36,'评估表'!$O$2:$O$241,"&lt;="&amp;VALUE(RIGHT($B$10,1)),'评估表'!$K$2:$K$241,"部分满足")</f>
        <v>0</v>
      </c>
      <c r="I36" s="10">
        <f>COUNTIFS('评估表'!$B$2:$B$241,$A36,'评估表'!$O$2:$O$241,"&lt;="&amp;VALUE(RIGHT($B$10,1)),'评估表'!$K$2:$K$241,"未满足")</f>
        <v>0</v>
      </c>
      <c r="J36" s="10">
        <f>COUNTIFS('评估表'!$B$2:$B$241,$A36,'评估表'!$O$2:$O$241,"&lt;="&amp;VALUE(RIGHT($B$10,1)),'评估表'!$K$2:$K$241,"不适用")</f>
        <v>0</v>
      </c>
      <c r="K36" s="10">
        <f>F36-SUM(G36:J36)</f>
        <v>21</v>
      </c>
      <c r="L36" s="11">
        <f>IF(F36-J36=0,"—",G36/(F36-J36))</f>
        <v>0</v>
      </c>
      <c r="M36" s="10" t="str">
        <f>IF(COUNTIFS('评估表'!$B$2:$B$241,$A36,'评估表'!$O$2:$O$241,"&lt;=1",'评估表'!$K$2:$K$241,"&lt;&gt;已满足",'评估表'!$K$2:$K$241,"&lt;&gt;不适用")&gt;0,"未达 L1",IF(COUNTIFS('评估表'!$B$2:$B$241,$A36,'评估表'!$O$2:$O$241,"&lt;=2",'评估表'!$K$2:$K$241,"&lt;&gt;已满足",'评估表'!$K$2:$K$241,"&lt;&gt;不适用")&gt;0,"L1",IF(COUNTIFS('评估表'!$B$2:$B$241,$A36,'评估表'!$O$2:$O$241,"&lt;=3",'评估表'!$K$2:$K$241,"&lt;&gt;已满足",'评估表'!$K$2:$K$241,"&lt;&gt;不适用")&gt;0,"L2","L3")))</f>
        <v>未达 L1</v>
      </c>
    </row>
    <row r="37" spans="1:13" x14ac:dyDescent="0.25">
      <c r="A37" s="9" t="s">
        <v>492</v>
      </c>
      <c r="B37" s="10">
        <f>COUNTIFS('评估表'!$B$2:$B$241,$A37,'评估表'!$F$2:$F$241,"L1")</f>
        <v>9</v>
      </c>
      <c r="C37" s="10">
        <f>COUNTIFS('评估表'!$B$2:$B$241,$A37,'评估表'!$F$2:$F$241,"L2")</f>
        <v>16</v>
      </c>
      <c r="D37" s="10">
        <f>COUNTIFS('评估表'!$B$2:$B$241,$A37,'评估表'!$F$2:$F$241,"L3")</f>
        <v>1</v>
      </c>
      <c r="E37" s="10">
        <f>SUM(B37:D37)</f>
        <v>26</v>
      </c>
      <c r="F37" s="10">
        <f>COUNTIFS('评估表'!$B$2:$B$241,$A37,'评估表'!$O$2:$O$241,"&lt;="&amp;VALUE(RIGHT($B$10,1)))</f>
        <v>25</v>
      </c>
      <c r="G37" s="10">
        <f>COUNTIFS('评估表'!$B$2:$B$241,$A37,'评估表'!$O$2:$O$241,"&lt;="&amp;VALUE(RIGHT($B$10,1)),'评估表'!$K$2:$K$241,"已满足")</f>
        <v>0</v>
      </c>
      <c r="H37" s="10">
        <f>COUNTIFS('评估表'!$B$2:$B$241,$A37,'评估表'!$O$2:$O$241,"&lt;="&amp;VALUE(RIGHT($B$10,1)),'评估表'!$K$2:$K$241,"部分满足")</f>
        <v>0</v>
      </c>
      <c r="I37" s="10">
        <f>COUNTIFS('评估表'!$B$2:$B$241,$A37,'评估表'!$O$2:$O$241,"&lt;="&amp;VALUE(RIGHT($B$10,1)),'评估表'!$K$2:$K$241,"未满足")</f>
        <v>0</v>
      </c>
      <c r="J37" s="10">
        <f>COUNTIFS('评估表'!$B$2:$B$241,$A37,'评估表'!$O$2:$O$241,"&lt;="&amp;VALUE(RIGHT($B$10,1)),'评估表'!$K$2:$K$241,"不适用")</f>
        <v>0</v>
      </c>
      <c r="K37" s="10">
        <f>F37-SUM(G37:J37)</f>
        <v>25</v>
      </c>
      <c r="L37" s="11">
        <f>IF(F37-J37=0,"—",G37/(F37-J37))</f>
        <v>0</v>
      </c>
      <c r="M37" s="10" t="str">
        <f>IF(COUNTIFS('评估表'!$B$2:$B$241,$A37,'评估表'!$O$2:$O$241,"&lt;=1",'评估表'!$K$2:$K$241,"&lt;&gt;已满足",'评估表'!$K$2:$K$241,"&lt;&gt;不适用")&gt;0,"未达 L1",IF(COUNTIFS('评估表'!$B$2:$B$241,$A37,'评估表'!$O$2:$O$241,"&lt;=2",'评估表'!$K$2:$K$241,"&lt;&gt;已满足",'评估表'!$K$2:$K$241,"&lt;&gt;不适用")&gt;0,"L1",IF(COUNTIFS('评估表'!$B$2:$B$241,$A37,'评估表'!$O$2:$O$241,"&lt;=3",'评估表'!$K$2:$K$241,"&lt;&gt;已满足",'评估表'!$K$2:$K$241,"&lt;&gt;不适用")&gt;0,"L2","L3")))</f>
        <v>未达 L1</v>
      </c>
    </row>
    <row r="38" spans="1:13" x14ac:dyDescent="0.25">
      <c r="A38" s="9" t="s">
        <v>552</v>
      </c>
      <c r="B38" s="10">
        <f>COUNTIFS('评估表'!$B$2:$B$241,$A38,'评估表'!$F$2:$F$241,"L1")</f>
        <v>5</v>
      </c>
      <c r="C38" s="10">
        <f>COUNTIFS('评估表'!$B$2:$B$241,$A38,'评估表'!$F$2:$F$241,"L2")</f>
        <v>15</v>
      </c>
      <c r="D38" s="10">
        <f>COUNTIFS('评估表'!$B$2:$B$241,$A38,'评估表'!$F$2:$F$241,"L3")</f>
        <v>3</v>
      </c>
      <c r="E38" s="10">
        <f>SUM(B38:D38)</f>
        <v>23</v>
      </c>
      <c r="F38" s="10">
        <f>COUNTIFS('评估表'!$B$2:$B$241,$A38,'评估表'!$O$2:$O$241,"&lt;="&amp;VALUE(RIGHT($B$10,1)))</f>
        <v>20</v>
      </c>
      <c r="G38" s="10">
        <f>COUNTIFS('评估表'!$B$2:$B$241,$A38,'评估表'!$O$2:$O$241,"&lt;="&amp;VALUE(RIGHT($B$10,1)),'评估表'!$K$2:$K$241,"已满足")</f>
        <v>0</v>
      </c>
      <c r="H38" s="10">
        <f>COUNTIFS('评估表'!$B$2:$B$241,$A38,'评估表'!$O$2:$O$241,"&lt;="&amp;VALUE(RIGHT($B$10,1)),'评估表'!$K$2:$K$241,"部分满足")</f>
        <v>0</v>
      </c>
      <c r="I38" s="10">
        <f>COUNTIFS('评估表'!$B$2:$B$241,$A38,'评估表'!$O$2:$O$241,"&lt;="&amp;VALUE(RIGHT($B$10,1)),'评估表'!$K$2:$K$241,"未满足")</f>
        <v>0</v>
      </c>
      <c r="J38" s="10">
        <f>COUNTIFS('评估表'!$B$2:$B$241,$A38,'评估表'!$O$2:$O$241,"&lt;="&amp;VALUE(RIGHT($B$10,1)),'评估表'!$K$2:$K$241,"不适用")</f>
        <v>0</v>
      </c>
      <c r="K38" s="10">
        <f>F38-SUM(G38:J38)</f>
        <v>20</v>
      </c>
      <c r="L38" s="11">
        <f>IF(F38-J38=0,"—",G38/(F38-J38))</f>
        <v>0</v>
      </c>
      <c r="M38" s="10" t="str">
        <f>IF(COUNTIFS('评估表'!$B$2:$B$241,$A38,'评估表'!$O$2:$O$241,"&lt;=1",'评估表'!$K$2:$K$241,"&lt;&gt;已满足",'评估表'!$K$2:$K$241,"&lt;&gt;不适用")&gt;0,"未达 L1",IF(COUNTIFS('评估表'!$B$2:$B$241,$A38,'评估表'!$O$2:$O$241,"&lt;=2",'评估表'!$K$2:$K$241,"&lt;&gt;已满足",'评估表'!$K$2:$K$241,"&lt;&gt;不适用")&gt;0,"L1",IF(COUNTIFS('评估表'!$B$2:$B$241,$A38,'评估表'!$O$2:$O$241,"&lt;=3",'评估表'!$K$2:$K$241,"&lt;&gt;已满足",'评估表'!$K$2:$K$241,"&lt;&gt;不适用")&gt;0,"L2","L3")))</f>
        <v>未达 L1</v>
      </c>
    </row>
    <row r="39" spans="1:13" x14ac:dyDescent="0.25">
      <c r="A39" s="16" t="s">
        <v>623</v>
      </c>
      <c r="B39" s="17">
        <f>SUM(B29:B38)</f>
        <v>90</v>
      </c>
      <c r="C39" s="17">
        <f>SUM(C29:C38)</f>
        <v>137</v>
      </c>
      <c r="D39" s="17">
        <f>SUM(D29:D38)</f>
        <v>13</v>
      </c>
      <c r="E39" s="17">
        <f>SUM(E29:E38)</f>
        <v>240</v>
      </c>
      <c r="F39" s="17">
        <f>SUM(F29:F38)</f>
        <v>227</v>
      </c>
      <c r="G39" s="17">
        <f>SUM(G29:G38)</f>
        <v>0</v>
      </c>
      <c r="H39" s="17">
        <f>SUM(H29:H38)</f>
        <v>0</v>
      </c>
      <c r="I39" s="17">
        <f>SUM(I29:I38)</f>
        <v>0</v>
      </c>
      <c r="J39" s="17">
        <f>SUM(J29:J38)</f>
        <v>0</v>
      </c>
      <c r="K39" s="17">
        <f>SUM(K29:K38)</f>
        <v>227</v>
      </c>
      <c r="L39" s="18">
        <f>IF(F39-J39=0,"—",G39/(F39-J39))</f>
        <v>0</v>
      </c>
      <c r="M39" s="17" t="str">
        <f>IF(COUNTIFS('评估表'!$O$2:$O$241,"&lt;=1",'评估表'!$K$2:$K$241,"&lt;&gt;已满足",'评估表'!$K$2:$K$241,"&lt;&gt;不适用")&gt;0,"未达 L1",IF(COUNTIFS('评估表'!$O$2:$O$241,"&lt;=2",'评估表'!$K$2:$K$241,"&lt;&gt;已满足",'评估表'!$K$2:$K$241,"&lt;&gt;不适用")&gt;0,"L1",IF(COUNTIFS('评估表'!$O$2:$O$241,"&lt;=3",'评估表'!$K$2:$K$241,"&lt;&gt;已满足",'评估表'!$K$2:$K$241,"&lt;&gt;不适用")&gt;0,"L2","L3")))</f>
        <v>未达 L1</v>
      </c>
    </row>
    <row r="42" spans="1:1" x14ac:dyDescent="0.25">
      <c r="A42" s="14" t="s">
        <v>627</v>
      </c>
    </row>
    <row r="43" ht="30" customHeight="1" spans="1:12" x14ac:dyDescent="0.25">
      <c r="A43" s="1" t="s">
        <v>628</v>
      </c>
      <c r="B43" s="1" t="s">
        <v>629</v>
      </c>
      <c r="C43" s="1" t="s">
        <v>630</v>
      </c>
      <c r="D43" s="1" t="s">
        <v>631</v>
      </c>
      <c r="E43" s="1" t="s">
        <v>632</v>
      </c>
      <c r="F43" s="1" t="s">
        <v>633</v>
      </c>
      <c r="G43" s="1" t="s">
        <v>634</v>
      </c>
      <c r="H43" s="1" t="s">
        <v>635</v>
      </c>
      <c r="I43" s="1" t="s">
        <v>636</v>
      </c>
      <c r="J43" s="1" t="s">
        <v>637</v>
      </c>
      <c r="K43" s="1" t="s">
        <v>638</v>
      </c>
      <c r="L43" s="1" t="s">
        <v>623</v>
      </c>
    </row>
    <row r="44" spans="1:12" x14ac:dyDescent="0.25">
      <c r="A44" s="9" t="s">
        <v>18</v>
      </c>
      <c r="B44" s="10">
        <f>COUNTIFS('评估表'!$D$2:$D$241,$A44,'评估表'!$B$2:$B$241,"V1 身份与认证")</f>
        <v>12</v>
      </c>
      <c r="C44" s="10">
        <f>COUNTIFS('评估表'!$D$2:$D$241,$A44,'评估表'!$B$2:$B$241,"V2 委托与有效权限")</f>
        <v>3</v>
      </c>
      <c r="D44" s="10">
        <f>COUNTIFS('评估表'!$D$2:$D$241,$A44,'评估表'!$B$2:$B$241,"V3 授权决策")</f>
        <v>1</v>
      </c>
      <c r="E44" s="10">
        <f>COUNTIFS('评估表'!$D$2:$D$241,$A44,'评估表'!$B$2:$B$241,"V4 凭证与出口执行")</f>
        <v>4</v>
      </c>
      <c r="F44" s="10">
        <f>COUNTIFS('评估表'!$D$2:$D$241,$A44,'评估表'!$B$2:$B$241,"V5 执行隔离")</f>
        <v>1</v>
      </c>
      <c r="G44" s="10">
        <f>COUNTIFS('评估表'!$D$2:$D$241,$A44,'评估表'!$B$2:$B$241,"V6 上下文与不可信输入")</f>
        <v>0</v>
      </c>
      <c r="H44" s="10">
        <f>COUNTIFS('评估表'!$D$2:$D$241,$A44,'评估表'!$B$2:$B$241,"V7 输出与可见性")</f>
        <v>0</v>
      </c>
      <c r="I44" s="10">
        <f>COUNTIFS('评估表'!$D$2:$D$241,$A44,'评估表'!$B$2:$B$241,"V8 数据、记忆与产出物")</f>
        <v>0</v>
      </c>
      <c r="J44" s="10">
        <f>COUNTIFS('评估表'!$D$2:$D$241,$A44,'评估表'!$B$2:$B$241,"V9 生命周期与治理")</f>
        <v>1</v>
      </c>
      <c r="K44" s="10">
        <f>COUNTIFS('评估表'!$D$2:$D$241,$A44,'评估表'!$B$2:$B$241,"V10 审计、检测与响应")</f>
        <v>0</v>
      </c>
      <c r="L44" s="10">
        <f>SUM(B44:K44)</f>
        <v>22</v>
      </c>
    </row>
    <row r="45" spans="1:12" x14ac:dyDescent="0.25">
      <c r="A45" s="9" t="s">
        <v>32</v>
      </c>
      <c r="B45" s="10">
        <f>COUNTIFS('评估表'!$D$2:$D$241,$A45,'评估表'!$B$2:$B$241,"V1 身份与认证")</f>
        <v>6</v>
      </c>
      <c r="C45" s="10">
        <f>COUNTIFS('评估表'!$D$2:$D$241,$A45,'评估表'!$B$2:$B$241,"V2 委托与有效权限")</f>
        <v>1</v>
      </c>
      <c r="D45" s="10">
        <f>COUNTIFS('评估表'!$D$2:$D$241,$A45,'评估表'!$B$2:$B$241,"V3 授权决策")</f>
        <v>0</v>
      </c>
      <c r="E45" s="10">
        <f>COUNTIFS('评估表'!$D$2:$D$241,$A45,'评估表'!$B$2:$B$241,"V4 凭证与出口执行")</f>
        <v>0</v>
      </c>
      <c r="F45" s="10">
        <f>COUNTIFS('评估表'!$D$2:$D$241,$A45,'评估表'!$B$2:$B$241,"V5 执行隔离")</f>
        <v>0</v>
      </c>
      <c r="G45" s="10">
        <f>COUNTIFS('评估表'!$D$2:$D$241,$A45,'评估表'!$B$2:$B$241,"V6 上下文与不可信输入")</f>
        <v>0</v>
      </c>
      <c r="H45" s="10">
        <f>COUNTIFS('评估表'!$D$2:$D$241,$A45,'评估表'!$B$2:$B$241,"V7 输出与可见性")</f>
        <v>10</v>
      </c>
      <c r="I45" s="10">
        <f>COUNTIFS('评估表'!$D$2:$D$241,$A45,'评估表'!$B$2:$B$241,"V8 数据、记忆与产出物")</f>
        <v>1</v>
      </c>
      <c r="J45" s="10">
        <f>COUNTIFS('评估表'!$D$2:$D$241,$A45,'评估表'!$B$2:$B$241,"V9 生命周期与治理")</f>
        <v>0</v>
      </c>
      <c r="K45" s="10">
        <f>COUNTIFS('评估表'!$D$2:$D$241,$A45,'评估表'!$B$2:$B$241,"V10 审计、检测与响应")</f>
        <v>0</v>
      </c>
      <c r="L45" s="10">
        <f>SUM(B45:K45)</f>
        <v>18</v>
      </c>
    </row>
    <row r="46" spans="1:12" x14ac:dyDescent="0.25">
      <c r="A46" s="9" t="s">
        <v>62</v>
      </c>
      <c r="B46" s="10">
        <f>COUNTIFS('评估表'!$D$2:$D$241,$A46,'评估表'!$B$2:$B$241,"V1 身份与认证")</f>
        <v>1</v>
      </c>
      <c r="C46" s="10">
        <f>COUNTIFS('评估表'!$D$2:$D$241,$A46,'评估表'!$B$2:$B$241,"V2 委托与有效权限")</f>
        <v>2</v>
      </c>
      <c r="D46" s="10">
        <f>COUNTIFS('评估表'!$D$2:$D$241,$A46,'评估表'!$B$2:$B$241,"V3 授权决策")</f>
        <v>14</v>
      </c>
      <c r="E46" s="10">
        <f>COUNTIFS('评估表'!$D$2:$D$241,$A46,'评估表'!$B$2:$B$241,"V4 凭证与出口执行")</f>
        <v>2</v>
      </c>
      <c r="F46" s="10">
        <f>COUNTIFS('评估表'!$D$2:$D$241,$A46,'评估表'!$B$2:$B$241,"V5 执行隔离")</f>
        <v>11</v>
      </c>
      <c r="G46" s="10">
        <f>COUNTIFS('评估表'!$D$2:$D$241,$A46,'评估表'!$B$2:$B$241,"V6 上下文与不可信输入")</f>
        <v>10</v>
      </c>
      <c r="H46" s="10">
        <f>COUNTIFS('评估表'!$D$2:$D$241,$A46,'评估表'!$B$2:$B$241,"V7 输出与可见性")</f>
        <v>4</v>
      </c>
      <c r="I46" s="10">
        <f>COUNTIFS('评估表'!$D$2:$D$241,$A46,'评估表'!$B$2:$B$241,"V8 数据、记忆与产出物")</f>
        <v>3</v>
      </c>
      <c r="J46" s="10">
        <f>COUNTIFS('评估表'!$D$2:$D$241,$A46,'评估表'!$B$2:$B$241,"V9 生命周期与治理")</f>
        <v>0</v>
      </c>
      <c r="K46" s="10">
        <f>COUNTIFS('评估表'!$D$2:$D$241,$A46,'评估表'!$B$2:$B$241,"V10 审计、检测与响应")</f>
        <v>1</v>
      </c>
      <c r="L46" s="10">
        <f>SUM(B46:K46)</f>
        <v>48</v>
      </c>
    </row>
    <row r="47" spans="1:12" x14ac:dyDescent="0.25">
      <c r="A47" s="9" t="s">
        <v>76</v>
      </c>
      <c r="B47" s="10">
        <f>COUNTIFS('评估表'!$D$2:$D$241,$A47,'评估表'!$B$2:$B$241,"V1 身份与认证")</f>
        <v>1</v>
      </c>
      <c r="C47" s="10">
        <f>COUNTIFS('评估表'!$D$2:$D$241,$A47,'评估表'!$B$2:$B$241,"V2 委托与有效权限")</f>
        <v>15</v>
      </c>
      <c r="D47" s="10">
        <f>COUNTIFS('评估表'!$D$2:$D$241,$A47,'评估表'!$B$2:$B$241,"V3 授权决策")</f>
        <v>8</v>
      </c>
      <c r="E47" s="10">
        <f>COUNTIFS('评估表'!$D$2:$D$241,$A47,'评估表'!$B$2:$B$241,"V4 凭证与出口执行")</f>
        <v>0</v>
      </c>
      <c r="F47" s="10">
        <f>COUNTIFS('评估表'!$D$2:$D$241,$A47,'评估表'!$B$2:$B$241,"V5 执行隔离")</f>
        <v>0</v>
      </c>
      <c r="G47" s="10">
        <f>COUNTIFS('评估表'!$D$2:$D$241,$A47,'评估表'!$B$2:$B$241,"V6 上下文与不可信输入")</f>
        <v>0</v>
      </c>
      <c r="H47" s="10">
        <f>COUNTIFS('评估表'!$D$2:$D$241,$A47,'评估表'!$B$2:$B$241,"V7 输出与可见性")</f>
        <v>0</v>
      </c>
      <c r="I47" s="10">
        <f>COUNTIFS('评估表'!$D$2:$D$241,$A47,'评估表'!$B$2:$B$241,"V8 数据、记忆与产出物")</f>
        <v>1</v>
      </c>
      <c r="J47" s="10">
        <f>COUNTIFS('评估表'!$D$2:$D$241,$A47,'评估表'!$B$2:$B$241,"V9 生命周期与治理")</f>
        <v>1</v>
      </c>
      <c r="K47" s="10">
        <f>COUNTIFS('评估表'!$D$2:$D$241,$A47,'评估表'!$B$2:$B$241,"V10 审计、检测与响应")</f>
        <v>3</v>
      </c>
      <c r="L47" s="10">
        <f>SUM(B47:K47)</f>
        <v>29</v>
      </c>
    </row>
    <row r="48" spans="1:12" x14ac:dyDescent="0.25">
      <c r="A48" s="9" t="s">
        <v>65</v>
      </c>
      <c r="B48" s="10">
        <f>COUNTIFS('评估表'!$D$2:$D$241,$A48,'评估表'!$B$2:$B$241,"V1 身份与认证")</f>
        <v>1</v>
      </c>
      <c r="C48" s="10">
        <f>COUNTIFS('评估表'!$D$2:$D$241,$A48,'评估表'!$B$2:$B$241,"V2 委托与有效权限")</f>
        <v>2</v>
      </c>
      <c r="D48" s="10">
        <f>COUNTIFS('评估表'!$D$2:$D$241,$A48,'评估表'!$B$2:$B$241,"V3 授权决策")</f>
        <v>2</v>
      </c>
      <c r="E48" s="10">
        <f>COUNTIFS('评估表'!$D$2:$D$241,$A48,'评估表'!$B$2:$B$241,"V4 凭证与出口执行")</f>
        <v>19</v>
      </c>
      <c r="F48" s="10">
        <f>COUNTIFS('评估表'!$D$2:$D$241,$A48,'评估表'!$B$2:$B$241,"V5 执行隔离")</f>
        <v>2</v>
      </c>
      <c r="G48" s="10">
        <f>COUNTIFS('评估表'!$D$2:$D$241,$A48,'评估表'!$B$2:$B$241,"V6 上下文与不可信输入")</f>
        <v>0</v>
      </c>
      <c r="H48" s="10">
        <f>COUNTIFS('评估表'!$D$2:$D$241,$A48,'评估表'!$B$2:$B$241,"V7 输出与可见性")</f>
        <v>3</v>
      </c>
      <c r="I48" s="10">
        <f>COUNTIFS('评估表'!$D$2:$D$241,$A48,'评估表'!$B$2:$B$241,"V8 数据、记忆与产出物")</f>
        <v>3</v>
      </c>
      <c r="J48" s="10">
        <f>COUNTIFS('评估表'!$D$2:$D$241,$A48,'评估表'!$B$2:$B$241,"V9 生命周期与治理")</f>
        <v>0</v>
      </c>
      <c r="K48" s="10">
        <f>COUNTIFS('评估表'!$D$2:$D$241,$A48,'评估表'!$B$2:$B$241,"V10 审计、检测与响应")</f>
        <v>0</v>
      </c>
      <c r="L48" s="10">
        <f>SUM(B48:K48)</f>
        <v>32</v>
      </c>
    </row>
    <row r="49" spans="1:12" x14ac:dyDescent="0.25">
      <c r="A49" s="9" t="s">
        <v>51</v>
      </c>
      <c r="B49" s="10">
        <f>COUNTIFS('评估表'!$D$2:$D$241,$A49,'评估表'!$B$2:$B$241,"V1 身份与认证")</f>
        <v>1</v>
      </c>
      <c r="C49" s="10">
        <f>COUNTIFS('评估表'!$D$2:$D$241,$A49,'评估表'!$B$2:$B$241,"V2 委托与有效权限")</f>
        <v>0</v>
      </c>
      <c r="D49" s="10">
        <f>COUNTIFS('评估表'!$D$2:$D$241,$A49,'评估表'!$B$2:$B$241,"V3 授权决策")</f>
        <v>0</v>
      </c>
      <c r="E49" s="10">
        <f>COUNTIFS('评估表'!$D$2:$D$241,$A49,'评估表'!$B$2:$B$241,"V4 凭证与出口执行")</f>
        <v>3</v>
      </c>
      <c r="F49" s="10">
        <f>COUNTIFS('评估表'!$D$2:$D$241,$A49,'评估表'!$B$2:$B$241,"V5 执行隔离")</f>
        <v>0</v>
      </c>
      <c r="G49" s="10">
        <f>COUNTIFS('评估表'!$D$2:$D$241,$A49,'评估表'!$B$2:$B$241,"V6 上下文与不可信输入")</f>
        <v>0</v>
      </c>
      <c r="H49" s="10">
        <f>COUNTIFS('评估表'!$D$2:$D$241,$A49,'评估表'!$B$2:$B$241,"V7 输出与可见性")</f>
        <v>0</v>
      </c>
      <c r="I49" s="10">
        <f>COUNTIFS('评估表'!$D$2:$D$241,$A49,'评估表'!$B$2:$B$241,"V8 数据、记忆与产出物")</f>
        <v>0</v>
      </c>
      <c r="J49" s="10">
        <f>COUNTIFS('评估表'!$D$2:$D$241,$A49,'评估表'!$B$2:$B$241,"V9 生命周期与治理")</f>
        <v>0</v>
      </c>
      <c r="K49" s="10">
        <f>COUNTIFS('评估表'!$D$2:$D$241,$A49,'评估表'!$B$2:$B$241,"V10 审计、检测与响应")</f>
        <v>0</v>
      </c>
      <c r="L49" s="10">
        <f>SUM(B49:K49)</f>
        <v>4</v>
      </c>
    </row>
    <row r="50" spans="1:12" x14ac:dyDescent="0.25">
      <c r="A50" s="9" t="s">
        <v>403</v>
      </c>
      <c r="B50" s="10">
        <f>COUNTIFS('评估表'!$D$2:$D$241,$A50,'评估表'!$B$2:$B$241,"V1 身份与认证")</f>
        <v>0</v>
      </c>
      <c r="C50" s="10">
        <f>COUNTIFS('评估表'!$D$2:$D$241,$A50,'评估表'!$B$2:$B$241,"V2 委托与有效权限")</f>
        <v>0</v>
      </c>
      <c r="D50" s="10">
        <f>COUNTIFS('评估表'!$D$2:$D$241,$A50,'评估表'!$B$2:$B$241,"V3 授权决策")</f>
        <v>0</v>
      </c>
      <c r="E50" s="10">
        <f>COUNTIFS('评估表'!$D$2:$D$241,$A50,'评估表'!$B$2:$B$241,"V4 凭证与出口执行")</f>
        <v>0</v>
      </c>
      <c r="F50" s="10">
        <f>COUNTIFS('评估表'!$D$2:$D$241,$A50,'评估表'!$B$2:$B$241,"V5 执行隔离")</f>
        <v>0</v>
      </c>
      <c r="G50" s="10">
        <f>COUNTIFS('评估表'!$D$2:$D$241,$A50,'评估表'!$B$2:$B$241,"V6 上下文与不可信输入")</f>
        <v>0</v>
      </c>
      <c r="H50" s="10">
        <f>COUNTIFS('评估表'!$D$2:$D$241,$A50,'评估表'!$B$2:$B$241,"V7 输出与可见性")</f>
        <v>1</v>
      </c>
      <c r="I50" s="10">
        <f>COUNTIFS('评估表'!$D$2:$D$241,$A50,'评估表'!$B$2:$B$241,"V8 数据、记忆与产出物")</f>
        <v>13</v>
      </c>
      <c r="J50" s="10">
        <f>COUNTIFS('评估表'!$D$2:$D$241,$A50,'评估表'!$B$2:$B$241,"V9 生命周期与治理")</f>
        <v>0</v>
      </c>
      <c r="K50" s="10">
        <f>COUNTIFS('评估表'!$D$2:$D$241,$A50,'评估表'!$B$2:$B$241,"V10 审计、检测与响应")</f>
        <v>0</v>
      </c>
      <c r="L50" s="10">
        <f>SUM(B50:K50)</f>
        <v>14</v>
      </c>
    </row>
    <row r="51" spans="1:12" x14ac:dyDescent="0.25">
      <c r="A51" s="9" t="s">
        <v>232</v>
      </c>
      <c r="B51" s="10">
        <f>COUNTIFS('评估表'!$D$2:$D$241,$A51,'评估表'!$B$2:$B$241,"V1 身份与认证")</f>
        <v>0</v>
      </c>
      <c r="C51" s="10">
        <f>COUNTIFS('评估表'!$D$2:$D$241,$A51,'评估表'!$B$2:$B$241,"V2 委托与有效权限")</f>
        <v>0</v>
      </c>
      <c r="D51" s="10">
        <f>COUNTIFS('评估表'!$D$2:$D$241,$A51,'评估表'!$B$2:$B$241,"V3 授权决策")</f>
        <v>0</v>
      </c>
      <c r="E51" s="10">
        <f>COUNTIFS('评估表'!$D$2:$D$241,$A51,'评估表'!$B$2:$B$241,"V4 凭证与出口执行")</f>
        <v>3</v>
      </c>
      <c r="F51" s="10">
        <f>COUNTIFS('评估表'!$D$2:$D$241,$A51,'评估表'!$B$2:$B$241,"V5 执行隔离")</f>
        <v>10</v>
      </c>
      <c r="G51" s="10">
        <f>COUNTIFS('评估表'!$D$2:$D$241,$A51,'评估表'!$B$2:$B$241,"V6 上下文与不可信输入")</f>
        <v>0</v>
      </c>
      <c r="H51" s="10">
        <f>COUNTIFS('评估表'!$D$2:$D$241,$A51,'评估表'!$B$2:$B$241,"V7 输出与可见性")</f>
        <v>0</v>
      </c>
      <c r="I51" s="10">
        <f>COUNTIFS('评估表'!$D$2:$D$241,$A51,'评估表'!$B$2:$B$241,"V8 数据、记忆与产出物")</f>
        <v>0</v>
      </c>
      <c r="J51" s="10">
        <f>COUNTIFS('评估表'!$D$2:$D$241,$A51,'评估表'!$B$2:$B$241,"V9 生命周期与治理")</f>
        <v>0</v>
      </c>
      <c r="K51" s="10">
        <f>COUNTIFS('评估表'!$D$2:$D$241,$A51,'评估表'!$B$2:$B$241,"V10 审计、检测与响应")</f>
        <v>0</v>
      </c>
      <c r="L51" s="10">
        <f>SUM(B51:K51)</f>
        <v>13</v>
      </c>
    </row>
    <row r="52" spans="1:12" x14ac:dyDescent="0.25">
      <c r="A52" s="9" t="s">
        <v>111</v>
      </c>
      <c r="B52" s="10">
        <f>COUNTIFS('评估表'!$D$2:$D$241,$A52,'评估表'!$B$2:$B$241,"V1 身份与认证")</f>
        <v>0</v>
      </c>
      <c r="C52" s="10">
        <f>COUNTIFS('评估表'!$D$2:$D$241,$A52,'评估表'!$B$2:$B$241,"V2 委托与有效权限")</f>
        <v>3</v>
      </c>
      <c r="D52" s="10">
        <f>COUNTIFS('评估表'!$D$2:$D$241,$A52,'评估表'!$B$2:$B$241,"V3 授权决策")</f>
        <v>2</v>
      </c>
      <c r="E52" s="10">
        <f>COUNTIFS('评估表'!$D$2:$D$241,$A52,'评估表'!$B$2:$B$241,"V4 凭证与出口执行")</f>
        <v>2</v>
      </c>
      <c r="F52" s="10">
        <f>COUNTIFS('评估表'!$D$2:$D$241,$A52,'评估表'!$B$2:$B$241,"V5 执行隔离")</f>
        <v>3</v>
      </c>
      <c r="G52" s="10">
        <f>COUNTIFS('评估表'!$D$2:$D$241,$A52,'评估表'!$B$2:$B$241,"V6 上下文与不可信输入")</f>
        <v>3</v>
      </c>
      <c r="H52" s="10">
        <f>COUNTIFS('评估表'!$D$2:$D$241,$A52,'评估表'!$B$2:$B$241,"V7 输出与可见性")</f>
        <v>0</v>
      </c>
      <c r="I52" s="10">
        <f>COUNTIFS('评估表'!$D$2:$D$241,$A52,'评估表'!$B$2:$B$241,"V8 数据、记忆与产出物")</f>
        <v>1</v>
      </c>
      <c r="J52" s="10">
        <f>COUNTIFS('评估表'!$D$2:$D$241,$A52,'评估表'!$B$2:$B$241,"V9 生命周期与治理")</f>
        <v>22</v>
      </c>
      <c r="K52" s="10">
        <f>COUNTIFS('评估表'!$D$2:$D$241,$A52,'评估表'!$B$2:$B$241,"V10 审计、检测与响应")</f>
        <v>4</v>
      </c>
      <c r="L52" s="10">
        <f>SUM(B52:K52)</f>
        <v>40</v>
      </c>
    </row>
    <row r="53" spans="1:12" x14ac:dyDescent="0.25">
      <c r="A53" s="9" t="s">
        <v>79</v>
      </c>
      <c r="B53" s="10">
        <f>COUNTIFS('评估表'!$D$2:$D$241,$A53,'评估表'!$B$2:$B$241,"V1 身份与认证")</f>
        <v>1</v>
      </c>
      <c r="C53" s="10">
        <f>COUNTIFS('评估表'!$D$2:$D$241,$A53,'评估表'!$B$2:$B$241,"V2 委托与有效权限")</f>
        <v>2</v>
      </c>
      <c r="D53" s="10">
        <f>COUNTIFS('评估表'!$D$2:$D$241,$A53,'评估表'!$B$2:$B$241,"V3 授权决策")</f>
        <v>0</v>
      </c>
      <c r="E53" s="10">
        <f>COUNTIFS('评估表'!$D$2:$D$241,$A53,'评估表'!$B$2:$B$241,"V4 凭证与出口执行")</f>
        <v>0</v>
      </c>
      <c r="F53" s="10">
        <f>COUNTIFS('评估表'!$D$2:$D$241,$A53,'评估表'!$B$2:$B$241,"V5 执行隔离")</f>
        <v>0</v>
      </c>
      <c r="G53" s="10">
        <f>COUNTIFS('评估表'!$D$2:$D$241,$A53,'评估表'!$B$2:$B$241,"V6 上下文与不可信输入")</f>
        <v>0</v>
      </c>
      <c r="H53" s="10">
        <f>COUNTIFS('评估表'!$D$2:$D$241,$A53,'评估表'!$B$2:$B$241,"V7 输出与可见性")</f>
        <v>0</v>
      </c>
      <c r="I53" s="10">
        <f>COUNTIFS('评估表'!$D$2:$D$241,$A53,'评估表'!$B$2:$B$241,"V8 数据、记忆与产出物")</f>
        <v>0</v>
      </c>
      <c r="J53" s="10">
        <f>COUNTIFS('评估表'!$D$2:$D$241,$A53,'评估表'!$B$2:$B$241,"V9 生命周期与治理")</f>
        <v>2</v>
      </c>
      <c r="K53" s="10">
        <f>COUNTIFS('评估表'!$D$2:$D$241,$A53,'评估表'!$B$2:$B$241,"V10 审计、检测与响应")</f>
        <v>15</v>
      </c>
      <c r="L53" s="10">
        <f>SUM(B53:K53)</f>
        <v>20</v>
      </c>
    </row>
    <row r="54" spans="1:12" x14ac:dyDescent="0.25">
      <c r="A54" s="16" t="s">
        <v>623</v>
      </c>
      <c r="B54" s="17">
        <f>SUM(B44:B53)</f>
        <v>23</v>
      </c>
      <c r="C54" s="17">
        <f>SUM(C44:C53)</f>
        <v>28</v>
      </c>
      <c r="D54" s="17">
        <f>SUM(D44:D53)</f>
        <v>27</v>
      </c>
      <c r="E54" s="17">
        <f>SUM(E44:E53)</f>
        <v>33</v>
      </c>
      <c r="F54" s="17">
        <f>SUM(F44:F53)</f>
        <v>27</v>
      </c>
      <c r="G54" s="17">
        <f>SUM(G44:G53)</f>
        <v>13</v>
      </c>
      <c r="H54" s="17">
        <f>SUM(H44:H53)</f>
        <v>18</v>
      </c>
      <c r="I54" s="17">
        <f>SUM(I44:I53)</f>
        <v>22</v>
      </c>
      <c r="J54" s="17">
        <f>SUM(J44:J53)</f>
        <v>26</v>
      </c>
      <c r="K54" s="17">
        <f>SUM(K44:K53)</f>
        <v>23</v>
      </c>
      <c r="L54" s="17">
        <f>SUM(L44:L53)</f>
        <v>240</v>
      </c>
    </row>
    <row r="55" spans="1:1" x14ac:dyDescent="0.25">
      <c r="A55" s="8" t="s">
        <v>639</v>
      </c>
    </row>
  </sheetData>
  <conditionalFormatting sqref="B44:K53">
    <cfRule type="expression" dxfId="7" priority="1">
      <formula>B44&gt;=8</formula>
    </cfRule>
    <cfRule type="expression" dxfId="8" priority="2">
      <formula>AND(B44&gt;=3,B44&lt;8)</formula>
    </cfRule>
    <cfRule type="expression" dxfId="9" priority="3">
      <formula>B44=0</formula>
    </cfRule>
  </conditionalFormatting>
  <dataValidations count="1">
    <dataValidation type="list" sqref="B10">
      <formula1>"L1,L2,L3"</formula1>
    </dataValidation>
  </dataValidations>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0"/>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18" customWidth="1"/>
    <col min="3" max="3" width="11" customWidth="1"/>
    <col min="4" max="4" width="56" customWidth="1"/>
    <col min="5" max="5" width="8" customWidth="1"/>
    <col min="8" max="8" width="11" customWidth="1"/>
    <col min="9" max="9" width="30" customWidth="1"/>
  </cols>
  <sheetData>
    <row r="1" spans="1:1" x14ac:dyDescent="0.25">
      <c r="A1" s="7" t="s">
        <v>640</v>
      </c>
    </row>
    <row r="2" spans="1:1" x14ac:dyDescent="0.25">
      <c r="A2" s="8" t="s">
        <v>641</v>
      </c>
    </row>
    <row r="3" ht="30" customHeight="1" spans="1:9" x14ac:dyDescent="0.25">
      <c r="A3" s="1" t="s">
        <v>0</v>
      </c>
      <c r="B3" s="1" t="s">
        <v>1</v>
      </c>
      <c r="C3" s="1" t="s">
        <v>3</v>
      </c>
      <c r="D3" s="1" t="s">
        <v>4</v>
      </c>
      <c r="E3" s="1" t="s">
        <v>5</v>
      </c>
      <c r="F3" s="1" t="s">
        <v>10</v>
      </c>
      <c r="G3" s="1" t="s">
        <v>12</v>
      </c>
      <c r="H3" s="1" t="s">
        <v>13</v>
      </c>
      <c r="I3" s="1" t="s">
        <v>11</v>
      </c>
    </row>
    <row r="4" ht="34" customHeight="1" spans="1:9" x14ac:dyDescent="0.25">
      <c r="A4" s="3" t="s">
        <v>15</v>
      </c>
      <c r="B4" s="4" t="s">
        <v>16</v>
      </c>
      <c r="C4" s="3" t="s">
        <v>18</v>
      </c>
      <c r="D4" s="4" t="s">
        <v>19</v>
      </c>
      <c r="E4" s="3" t="s">
        <v>6</v>
      </c>
      <c r="F4" s="3" t="s">
        <v>22</v>
      </c>
      <c r="G4" s="4" t="s">
        <v>23</v>
      </c>
      <c r="H4" s="4" t="s">
        <v>23</v>
      </c>
      <c r="I4" s="4" t="s">
        <v>23</v>
      </c>
    </row>
    <row r="5" ht="48" customHeight="1" spans="1:9" x14ac:dyDescent="0.25">
      <c r="A5" s="3" t="s">
        <v>28</v>
      </c>
      <c r="B5" s="4" t="s">
        <v>16</v>
      </c>
      <c r="C5" s="3" t="s">
        <v>18</v>
      </c>
      <c r="D5" s="4" t="s">
        <v>29</v>
      </c>
      <c r="E5" s="3" t="s">
        <v>6</v>
      </c>
      <c r="F5" s="3" t="s">
        <v>22</v>
      </c>
      <c r="G5" s="4" t="s">
        <v>23</v>
      </c>
      <c r="H5" s="4" t="s">
        <v>23</v>
      </c>
      <c r="I5" s="4" t="s">
        <v>23</v>
      </c>
    </row>
    <row r="6" ht="34" customHeight="1" spans="1:9" x14ac:dyDescent="0.25">
      <c r="A6" s="3" t="s">
        <v>30</v>
      </c>
      <c r="B6" s="4" t="s">
        <v>16</v>
      </c>
      <c r="C6" s="3" t="s">
        <v>32</v>
      </c>
      <c r="D6" s="4" t="s">
        <v>33</v>
      </c>
      <c r="E6" s="3" t="s">
        <v>6</v>
      </c>
      <c r="F6" s="3" t="s">
        <v>22</v>
      </c>
      <c r="G6" s="4" t="s">
        <v>23</v>
      </c>
      <c r="H6" s="4" t="s">
        <v>23</v>
      </c>
      <c r="I6" s="4" t="s">
        <v>23</v>
      </c>
    </row>
    <row r="7" ht="34" customHeight="1" spans="1:9" x14ac:dyDescent="0.25">
      <c r="A7" s="3" t="s">
        <v>35</v>
      </c>
      <c r="B7" s="4" t="s">
        <v>16</v>
      </c>
      <c r="C7" s="3" t="s">
        <v>32</v>
      </c>
      <c r="D7" s="4" t="s">
        <v>36</v>
      </c>
      <c r="E7" s="3" t="s">
        <v>6</v>
      </c>
      <c r="F7" s="3" t="s">
        <v>22</v>
      </c>
      <c r="G7" s="4" t="s">
        <v>23</v>
      </c>
      <c r="H7" s="4" t="s">
        <v>23</v>
      </c>
      <c r="I7" s="4" t="s">
        <v>23</v>
      </c>
    </row>
    <row r="8" ht="34" customHeight="1" spans="1:9" x14ac:dyDescent="0.25">
      <c r="A8" s="3" t="s">
        <v>43</v>
      </c>
      <c r="B8" s="4" t="s">
        <v>16</v>
      </c>
      <c r="C8" s="3" t="s">
        <v>32</v>
      </c>
      <c r="D8" s="4" t="s">
        <v>44</v>
      </c>
      <c r="E8" s="3" t="s">
        <v>6</v>
      </c>
      <c r="F8" s="3" t="s">
        <v>22</v>
      </c>
      <c r="G8" s="4" t="s">
        <v>23</v>
      </c>
      <c r="H8" s="4" t="s">
        <v>23</v>
      </c>
      <c r="I8" s="4" t="s">
        <v>23</v>
      </c>
    </row>
    <row r="9" ht="34" customHeight="1" spans="1:9" x14ac:dyDescent="0.25">
      <c r="A9" s="3" t="s">
        <v>45</v>
      </c>
      <c r="B9" s="4" t="s">
        <v>16</v>
      </c>
      <c r="C9" s="3" t="s">
        <v>18</v>
      </c>
      <c r="D9" s="4" t="s">
        <v>47</v>
      </c>
      <c r="E9" s="3" t="s">
        <v>6</v>
      </c>
      <c r="F9" s="3" t="s">
        <v>22</v>
      </c>
      <c r="G9" s="4" t="s">
        <v>23</v>
      </c>
      <c r="H9" s="4" t="s">
        <v>23</v>
      </c>
      <c r="I9" s="4" t="s">
        <v>23</v>
      </c>
    </row>
    <row r="10" ht="34" customHeight="1" spans="1:9" x14ac:dyDescent="0.25">
      <c r="A10" s="3" t="s">
        <v>48</v>
      </c>
      <c r="B10" s="4" t="s">
        <v>16</v>
      </c>
      <c r="C10" s="3" t="s">
        <v>18</v>
      </c>
      <c r="D10" s="4" t="s">
        <v>49</v>
      </c>
      <c r="E10" s="3" t="s">
        <v>6</v>
      </c>
      <c r="F10" s="3" t="s">
        <v>22</v>
      </c>
      <c r="G10" s="4" t="s">
        <v>23</v>
      </c>
      <c r="H10" s="4" t="s">
        <v>23</v>
      </c>
      <c r="I10" s="4" t="s">
        <v>23</v>
      </c>
    </row>
    <row r="11" ht="34" customHeight="1" spans="1:9" x14ac:dyDescent="0.25">
      <c r="A11" s="3" t="s">
        <v>57</v>
      </c>
      <c r="B11" s="4" t="s">
        <v>16</v>
      </c>
      <c r="C11" s="3" t="s">
        <v>18</v>
      </c>
      <c r="D11" s="4" t="s">
        <v>59</v>
      </c>
      <c r="E11" s="3" t="s">
        <v>6</v>
      </c>
      <c r="F11" s="3" t="s">
        <v>22</v>
      </c>
      <c r="G11" s="4" t="s">
        <v>23</v>
      </c>
      <c r="H11" s="4" t="s">
        <v>23</v>
      </c>
      <c r="I11" s="4" t="s">
        <v>23</v>
      </c>
    </row>
    <row r="12" ht="34" customHeight="1" spans="1:9" x14ac:dyDescent="0.25">
      <c r="A12" s="3" t="s">
        <v>61</v>
      </c>
      <c r="B12" s="4" t="s">
        <v>16</v>
      </c>
      <c r="C12" s="3" t="s">
        <v>62</v>
      </c>
      <c r="D12" s="4" t="s">
        <v>63</v>
      </c>
      <c r="E12" s="3" t="s">
        <v>6</v>
      </c>
      <c r="F12" s="3" t="s">
        <v>22</v>
      </c>
      <c r="G12" s="4" t="s">
        <v>23</v>
      </c>
      <c r="H12" s="4" t="s">
        <v>23</v>
      </c>
      <c r="I12" s="4" t="s">
        <v>23</v>
      </c>
    </row>
    <row r="13" ht="34" customHeight="1" spans="1:9" x14ac:dyDescent="0.25">
      <c r="A13" s="3" t="s">
        <v>64</v>
      </c>
      <c r="B13" s="4" t="s">
        <v>16</v>
      </c>
      <c r="C13" s="3" t="s">
        <v>65</v>
      </c>
      <c r="D13" s="4" t="s">
        <v>66</v>
      </c>
      <c r="E13" s="3" t="s">
        <v>6</v>
      </c>
      <c r="F13" s="3" t="s">
        <v>22</v>
      </c>
      <c r="G13" s="4" t="s">
        <v>23</v>
      </c>
      <c r="H13" s="4" t="s">
        <v>23</v>
      </c>
      <c r="I13" s="4" t="s">
        <v>23</v>
      </c>
    </row>
    <row r="14" ht="20" customHeight="1" spans="1:9" x14ac:dyDescent="0.25">
      <c r="A14" s="3" t="s">
        <v>75</v>
      </c>
      <c r="B14" s="4" t="s">
        <v>16</v>
      </c>
      <c r="C14" s="3" t="s">
        <v>76</v>
      </c>
      <c r="D14" s="4" t="s">
        <v>77</v>
      </c>
      <c r="E14" s="3" t="s">
        <v>6</v>
      </c>
      <c r="F14" s="3" t="s">
        <v>22</v>
      </c>
      <c r="G14" s="4" t="s">
        <v>23</v>
      </c>
      <c r="H14" s="4" t="s">
        <v>23</v>
      </c>
      <c r="I14" s="4" t="s">
        <v>23</v>
      </c>
    </row>
    <row r="15" ht="48" customHeight="1" spans="1:9" x14ac:dyDescent="0.25">
      <c r="A15" s="3" t="s">
        <v>81</v>
      </c>
      <c r="B15" s="4" t="s">
        <v>82</v>
      </c>
      <c r="C15" s="3" t="s">
        <v>65</v>
      </c>
      <c r="D15" s="4" t="s">
        <v>84</v>
      </c>
      <c r="E15" s="3" t="s">
        <v>6</v>
      </c>
      <c r="F15" s="3" t="s">
        <v>22</v>
      </c>
      <c r="G15" s="4" t="s">
        <v>23</v>
      </c>
      <c r="H15" s="4" t="s">
        <v>23</v>
      </c>
      <c r="I15" s="4" t="s">
        <v>23</v>
      </c>
    </row>
    <row r="16" ht="34" customHeight="1" spans="1:9" x14ac:dyDescent="0.25">
      <c r="A16" s="3" t="s">
        <v>85</v>
      </c>
      <c r="B16" s="4" t="s">
        <v>82</v>
      </c>
      <c r="C16" s="3" t="s">
        <v>65</v>
      </c>
      <c r="D16" s="4" t="s">
        <v>86</v>
      </c>
      <c r="E16" s="3" t="s">
        <v>6</v>
      </c>
      <c r="F16" s="3" t="s">
        <v>22</v>
      </c>
      <c r="G16" s="4" t="s">
        <v>23</v>
      </c>
      <c r="H16" s="4" t="s">
        <v>23</v>
      </c>
      <c r="I16" s="4" t="s">
        <v>23</v>
      </c>
    </row>
    <row r="17" ht="34" customHeight="1" spans="1:9" x14ac:dyDescent="0.25">
      <c r="A17" s="3" t="s">
        <v>89</v>
      </c>
      <c r="B17" s="4" t="s">
        <v>82</v>
      </c>
      <c r="C17" s="3" t="s">
        <v>76</v>
      </c>
      <c r="D17" s="4" t="s">
        <v>91</v>
      </c>
      <c r="E17" s="3" t="s">
        <v>6</v>
      </c>
      <c r="F17" s="3" t="s">
        <v>22</v>
      </c>
      <c r="G17" s="4" t="s">
        <v>23</v>
      </c>
      <c r="H17" s="4" t="s">
        <v>23</v>
      </c>
      <c r="I17" s="4" t="s">
        <v>23</v>
      </c>
    </row>
    <row r="18" ht="34" customHeight="1" spans="1:9" x14ac:dyDescent="0.25">
      <c r="A18" s="3" t="s">
        <v>92</v>
      </c>
      <c r="B18" s="4" t="s">
        <v>82</v>
      </c>
      <c r="C18" s="3" t="s">
        <v>76</v>
      </c>
      <c r="D18" s="4" t="s">
        <v>93</v>
      </c>
      <c r="E18" s="3" t="s">
        <v>6</v>
      </c>
      <c r="F18" s="3" t="s">
        <v>22</v>
      </c>
      <c r="G18" s="4" t="s">
        <v>23</v>
      </c>
      <c r="H18" s="4" t="s">
        <v>23</v>
      </c>
      <c r="I18" s="4" t="s">
        <v>23</v>
      </c>
    </row>
    <row r="19" ht="34" customHeight="1" spans="1:9" x14ac:dyDescent="0.25">
      <c r="A19" s="3" t="s">
        <v>102</v>
      </c>
      <c r="B19" s="4" t="s">
        <v>82</v>
      </c>
      <c r="C19" s="3" t="s">
        <v>76</v>
      </c>
      <c r="D19" s="4" t="s">
        <v>104</v>
      </c>
      <c r="E19" s="3" t="s">
        <v>6</v>
      </c>
      <c r="F19" s="3" t="s">
        <v>22</v>
      </c>
      <c r="G19" s="4" t="s">
        <v>23</v>
      </c>
      <c r="H19" s="4" t="s">
        <v>23</v>
      </c>
      <c r="I19" s="4" t="s">
        <v>23</v>
      </c>
    </row>
    <row r="20" ht="34" customHeight="1" spans="1:9" x14ac:dyDescent="0.25">
      <c r="A20" s="3" t="s">
        <v>106</v>
      </c>
      <c r="B20" s="4" t="s">
        <v>82</v>
      </c>
      <c r="C20" s="3" t="s">
        <v>76</v>
      </c>
      <c r="D20" s="4" t="s">
        <v>107</v>
      </c>
      <c r="E20" s="3" t="s">
        <v>6</v>
      </c>
      <c r="F20" s="3" t="s">
        <v>22</v>
      </c>
      <c r="G20" s="4" t="s">
        <v>23</v>
      </c>
      <c r="H20" s="4" t="s">
        <v>23</v>
      </c>
      <c r="I20" s="4" t="s">
        <v>23</v>
      </c>
    </row>
    <row r="21" ht="34" customHeight="1" spans="1:9" x14ac:dyDescent="0.25">
      <c r="A21" s="3" t="s">
        <v>108</v>
      </c>
      <c r="B21" s="4" t="s">
        <v>82</v>
      </c>
      <c r="C21" s="3" t="s">
        <v>62</v>
      </c>
      <c r="D21" s="4" t="s">
        <v>109</v>
      </c>
      <c r="E21" s="3" t="s">
        <v>6</v>
      </c>
      <c r="F21" s="3" t="s">
        <v>22</v>
      </c>
      <c r="G21" s="4" t="s">
        <v>23</v>
      </c>
      <c r="H21" s="4" t="s">
        <v>23</v>
      </c>
      <c r="I21" s="4" t="s">
        <v>23</v>
      </c>
    </row>
    <row r="22" ht="34" customHeight="1" spans="1:9" x14ac:dyDescent="0.25">
      <c r="A22" s="3" t="s">
        <v>117</v>
      </c>
      <c r="B22" s="4" t="s">
        <v>82</v>
      </c>
      <c r="C22" s="3" t="s">
        <v>76</v>
      </c>
      <c r="D22" s="4" t="s">
        <v>119</v>
      </c>
      <c r="E22" s="3" t="s">
        <v>6</v>
      </c>
      <c r="F22" s="3" t="s">
        <v>22</v>
      </c>
      <c r="G22" s="4" t="s">
        <v>23</v>
      </c>
      <c r="H22" s="4" t="s">
        <v>23</v>
      </c>
      <c r="I22" s="4" t="s">
        <v>23</v>
      </c>
    </row>
    <row r="23" ht="34" customHeight="1" spans="1:9" x14ac:dyDescent="0.25">
      <c r="A23" s="3" t="s">
        <v>123</v>
      </c>
      <c r="B23" s="4" t="s">
        <v>82</v>
      </c>
      <c r="C23" s="3" t="s">
        <v>76</v>
      </c>
      <c r="D23" s="4" t="s">
        <v>124</v>
      </c>
      <c r="E23" s="3" t="s">
        <v>6</v>
      </c>
      <c r="F23" s="3" t="s">
        <v>22</v>
      </c>
      <c r="G23" s="4" t="s">
        <v>23</v>
      </c>
      <c r="H23" s="4" t="s">
        <v>23</v>
      </c>
      <c r="I23" s="4" t="s">
        <v>23</v>
      </c>
    </row>
    <row r="24" ht="34" customHeight="1" spans="1:9" x14ac:dyDescent="0.25">
      <c r="A24" s="3" t="s">
        <v>141</v>
      </c>
      <c r="B24" s="4" t="s">
        <v>82</v>
      </c>
      <c r="C24" s="3" t="s">
        <v>32</v>
      </c>
      <c r="D24" s="4" t="s">
        <v>143</v>
      </c>
      <c r="E24" s="3" t="s">
        <v>6</v>
      </c>
      <c r="F24" s="3" t="s">
        <v>22</v>
      </c>
      <c r="G24" s="4" t="s">
        <v>23</v>
      </c>
      <c r="H24" s="4" t="s">
        <v>23</v>
      </c>
      <c r="I24" s="4" t="s">
        <v>23</v>
      </c>
    </row>
    <row r="25" ht="34" customHeight="1" spans="1:9" x14ac:dyDescent="0.25">
      <c r="A25" s="3" t="s">
        <v>145</v>
      </c>
      <c r="B25" s="4" t="s">
        <v>82</v>
      </c>
      <c r="C25" s="3" t="s">
        <v>111</v>
      </c>
      <c r="D25" s="4" t="s">
        <v>146</v>
      </c>
      <c r="E25" s="3" t="s">
        <v>6</v>
      </c>
      <c r="F25" s="3" t="s">
        <v>22</v>
      </c>
      <c r="G25" s="4" t="s">
        <v>23</v>
      </c>
      <c r="H25" s="4" t="s">
        <v>23</v>
      </c>
      <c r="I25" s="4" t="s">
        <v>23</v>
      </c>
    </row>
    <row r="26" ht="34" customHeight="1" spans="1:9" x14ac:dyDescent="0.25">
      <c r="A26" s="3" t="s">
        <v>149</v>
      </c>
      <c r="B26" s="4" t="s">
        <v>150</v>
      </c>
      <c r="C26" s="3" t="s">
        <v>76</v>
      </c>
      <c r="D26" s="4" t="s">
        <v>152</v>
      </c>
      <c r="E26" s="3" t="s">
        <v>6</v>
      </c>
      <c r="F26" s="3" t="s">
        <v>22</v>
      </c>
      <c r="G26" s="4" t="s">
        <v>23</v>
      </c>
      <c r="H26" s="4" t="s">
        <v>23</v>
      </c>
      <c r="I26" s="4" t="s">
        <v>23</v>
      </c>
    </row>
    <row r="27" ht="34" customHeight="1" spans="1:9" x14ac:dyDescent="0.25">
      <c r="A27" s="3" t="s">
        <v>153</v>
      </c>
      <c r="B27" s="4" t="s">
        <v>150</v>
      </c>
      <c r="C27" s="3" t="s">
        <v>76</v>
      </c>
      <c r="D27" s="4" t="s">
        <v>154</v>
      </c>
      <c r="E27" s="3" t="s">
        <v>6</v>
      </c>
      <c r="F27" s="3" t="s">
        <v>22</v>
      </c>
      <c r="G27" s="4" t="s">
        <v>23</v>
      </c>
      <c r="H27" s="4" t="s">
        <v>23</v>
      </c>
      <c r="I27" s="4" t="s">
        <v>23</v>
      </c>
    </row>
    <row r="28" ht="34" customHeight="1" spans="1:9" x14ac:dyDescent="0.25">
      <c r="A28" s="3" t="s">
        <v>155</v>
      </c>
      <c r="B28" s="4" t="s">
        <v>150</v>
      </c>
      <c r="C28" s="3" t="s">
        <v>76</v>
      </c>
      <c r="D28" s="4" t="s">
        <v>156</v>
      </c>
      <c r="E28" s="3" t="s">
        <v>6</v>
      </c>
      <c r="F28" s="3" t="s">
        <v>22</v>
      </c>
      <c r="G28" s="4" t="s">
        <v>23</v>
      </c>
      <c r="H28" s="4" t="s">
        <v>23</v>
      </c>
      <c r="I28" s="4" t="s">
        <v>23</v>
      </c>
    </row>
    <row r="29" ht="48" customHeight="1" spans="1:9" x14ac:dyDescent="0.25">
      <c r="A29" s="3" t="s">
        <v>159</v>
      </c>
      <c r="B29" s="4" t="s">
        <v>150</v>
      </c>
      <c r="C29" s="3" t="s">
        <v>62</v>
      </c>
      <c r="D29" s="4" t="s">
        <v>161</v>
      </c>
      <c r="E29" s="3" t="s">
        <v>6</v>
      </c>
      <c r="F29" s="3" t="s">
        <v>22</v>
      </c>
      <c r="G29" s="4" t="s">
        <v>23</v>
      </c>
      <c r="H29" s="4" t="s">
        <v>23</v>
      </c>
      <c r="I29" s="4" t="s">
        <v>23</v>
      </c>
    </row>
    <row r="30" ht="20" customHeight="1" spans="1:9" x14ac:dyDescent="0.25">
      <c r="A30" s="3" t="s">
        <v>166</v>
      </c>
      <c r="B30" s="4" t="s">
        <v>150</v>
      </c>
      <c r="C30" s="3" t="s">
        <v>62</v>
      </c>
      <c r="D30" s="4" t="s">
        <v>167</v>
      </c>
      <c r="E30" s="3" t="s">
        <v>6</v>
      </c>
      <c r="F30" s="3" t="s">
        <v>22</v>
      </c>
      <c r="G30" s="4" t="s">
        <v>23</v>
      </c>
      <c r="H30" s="4" t="s">
        <v>23</v>
      </c>
      <c r="I30" s="4" t="s">
        <v>23</v>
      </c>
    </row>
    <row r="31" ht="34" customHeight="1" spans="1:9" x14ac:dyDescent="0.25">
      <c r="A31" s="3" t="s">
        <v>175</v>
      </c>
      <c r="B31" s="4" t="s">
        <v>150</v>
      </c>
      <c r="C31" s="3" t="s">
        <v>62</v>
      </c>
      <c r="D31" s="4" t="s">
        <v>177</v>
      </c>
      <c r="E31" s="3" t="s">
        <v>6</v>
      </c>
      <c r="F31" s="3" t="s">
        <v>22</v>
      </c>
      <c r="G31" s="4" t="s">
        <v>23</v>
      </c>
      <c r="H31" s="4" t="s">
        <v>23</v>
      </c>
      <c r="I31" s="4" t="s">
        <v>23</v>
      </c>
    </row>
    <row r="32" ht="34" customHeight="1" spans="1:9" x14ac:dyDescent="0.25">
      <c r="A32" s="3" t="s">
        <v>178</v>
      </c>
      <c r="B32" s="4" t="s">
        <v>150</v>
      </c>
      <c r="C32" s="3" t="s">
        <v>62</v>
      </c>
      <c r="D32" s="4" t="s">
        <v>179</v>
      </c>
      <c r="E32" s="3" t="s">
        <v>6</v>
      </c>
      <c r="F32" s="3" t="s">
        <v>22</v>
      </c>
      <c r="G32" s="4" t="s">
        <v>23</v>
      </c>
      <c r="H32" s="4" t="s">
        <v>23</v>
      </c>
      <c r="I32" s="4" t="s">
        <v>23</v>
      </c>
    </row>
    <row r="33" ht="34" customHeight="1" spans="1:9" x14ac:dyDescent="0.25">
      <c r="A33" s="3" t="s">
        <v>180</v>
      </c>
      <c r="B33" s="4" t="s">
        <v>150</v>
      </c>
      <c r="C33" s="3" t="s">
        <v>62</v>
      </c>
      <c r="D33" s="4" t="s">
        <v>181</v>
      </c>
      <c r="E33" s="3" t="s">
        <v>6</v>
      </c>
      <c r="F33" s="3" t="s">
        <v>22</v>
      </c>
      <c r="G33" s="4" t="s">
        <v>23</v>
      </c>
      <c r="H33" s="4" t="s">
        <v>23</v>
      </c>
      <c r="I33" s="4" t="s">
        <v>23</v>
      </c>
    </row>
    <row r="34" ht="34" customHeight="1" spans="1:9" x14ac:dyDescent="0.25">
      <c r="A34" s="3" t="s">
        <v>198</v>
      </c>
      <c r="B34" s="4" t="s">
        <v>150</v>
      </c>
      <c r="C34" s="3" t="s">
        <v>62</v>
      </c>
      <c r="D34" s="4" t="s">
        <v>200</v>
      </c>
      <c r="E34" s="3" t="s">
        <v>6</v>
      </c>
      <c r="F34" s="3" t="s">
        <v>22</v>
      </c>
      <c r="G34" s="4" t="s">
        <v>23</v>
      </c>
      <c r="H34" s="4" t="s">
        <v>23</v>
      </c>
      <c r="I34" s="4" t="s">
        <v>23</v>
      </c>
    </row>
    <row r="35" ht="34" customHeight="1" spans="1:9" x14ac:dyDescent="0.25">
      <c r="A35" s="3" t="s">
        <v>212</v>
      </c>
      <c r="B35" s="4" t="s">
        <v>213</v>
      </c>
      <c r="C35" s="3" t="s">
        <v>65</v>
      </c>
      <c r="D35" s="4" t="s">
        <v>215</v>
      </c>
      <c r="E35" s="3" t="s">
        <v>6</v>
      </c>
      <c r="F35" s="3" t="s">
        <v>22</v>
      </c>
      <c r="G35" s="4" t="s">
        <v>23</v>
      </c>
      <c r="H35" s="4" t="s">
        <v>23</v>
      </c>
      <c r="I35" s="4" t="s">
        <v>23</v>
      </c>
    </row>
    <row r="36" ht="34" customHeight="1" spans="1:9" x14ac:dyDescent="0.25">
      <c r="A36" s="3" t="s">
        <v>216</v>
      </c>
      <c r="B36" s="4" t="s">
        <v>213</v>
      </c>
      <c r="C36" s="3" t="s">
        <v>65</v>
      </c>
      <c r="D36" s="4" t="s">
        <v>217</v>
      </c>
      <c r="E36" s="3" t="s">
        <v>6</v>
      </c>
      <c r="F36" s="3" t="s">
        <v>22</v>
      </c>
      <c r="G36" s="4" t="s">
        <v>23</v>
      </c>
      <c r="H36" s="4" t="s">
        <v>23</v>
      </c>
      <c r="I36" s="4" t="s">
        <v>23</v>
      </c>
    </row>
    <row r="37" ht="34" customHeight="1" spans="1:9" x14ac:dyDescent="0.25">
      <c r="A37" s="3" t="s">
        <v>228</v>
      </c>
      <c r="B37" s="4" t="s">
        <v>213</v>
      </c>
      <c r="C37" s="3" t="s">
        <v>65</v>
      </c>
      <c r="D37" s="4" t="s">
        <v>230</v>
      </c>
      <c r="E37" s="3" t="s">
        <v>6</v>
      </c>
      <c r="F37" s="3" t="s">
        <v>22</v>
      </c>
      <c r="G37" s="4" t="s">
        <v>23</v>
      </c>
      <c r="H37" s="4" t="s">
        <v>23</v>
      </c>
      <c r="I37" s="4" t="s">
        <v>23</v>
      </c>
    </row>
    <row r="38" ht="34" customHeight="1" spans="1:9" x14ac:dyDescent="0.25">
      <c r="A38" s="3" t="s">
        <v>231</v>
      </c>
      <c r="B38" s="4" t="s">
        <v>213</v>
      </c>
      <c r="C38" s="3" t="s">
        <v>232</v>
      </c>
      <c r="D38" s="4" t="s">
        <v>233</v>
      </c>
      <c r="E38" s="3" t="s">
        <v>6</v>
      </c>
      <c r="F38" s="3" t="s">
        <v>22</v>
      </c>
      <c r="G38" s="4" t="s">
        <v>23</v>
      </c>
      <c r="H38" s="4" t="s">
        <v>23</v>
      </c>
      <c r="I38" s="4" t="s">
        <v>23</v>
      </c>
    </row>
    <row r="39" ht="34" customHeight="1" spans="1:9" x14ac:dyDescent="0.25">
      <c r="A39" s="3" t="s">
        <v>234</v>
      </c>
      <c r="B39" s="4" t="s">
        <v>213</v>
      </c>
      <c r="C39" s="3" t="s">
        <v>51</v>
      </c>
      <c r="D39" s="4" t="s">
        <v>235</v>
      </c>
      <c r="E39" s="3" t="s">
        <v>6</v>
      </c>
      <c r="F39" s="3" t="s">
        <v>22</v>
      </c>
      <c r="G39" s="4" t="s">
        <v>23</v>
      </c>
      <c r="H39" s="4" t="s">
        <v>23</v>
      </c>
      <c r="I39" s="4" t="s">
        <v>23</v>
      </c>
    </row>
    <row r="40" ht="34" customHeight="1" spans="1:9" x14ac:dyDescent="0.25">
      <c r="A40" s="3" t="s">
        <v>238</v>
      </c>
      <c r="B40" s="4" t="s">
        <v>213</v>
      </c>
      <c r="C40" s="3" t="s">
        <v>111</v>
      </c>
      <c r="D40" s="4" t="s">
        <v>239</v>
      </c>
      <c r="E40" s="3" t="s">
        <v>6</v>
      </c>
      <c r="F40" s="3" t="s">
        <v>22</v>
      </c>
      <c r="G40" s="4" t="s">
        <v>23</v>
      </c>
      <c r="H40" s="4" t="s">
        <v>23</v>
      </c>
      <c r="I40" s="4" t="s">
        <v>23</v>
      </c>
    </row>
    <row r="41" ht="48" customHeight="1" spans="1:9" x14ac:dyDescent="0.25">
      <c r="A41" s="3" t="s">
        <v>240</v>
      </c>
      <c r="B41" s="4" t="s">
        <v>213</v>
      </c>
      <c r="C41" s="3" t="s">
        <v>65</v>
      </c>
      <c r="D41" s="4" t="s">
        <v>242</v>
      </c>
      <c r="E41" s="3" t="s">
        <v>6</v>
      </c>
      <c r="F41" s="3" t="s">
        <v>22</v>
      </c>
      <c r="G41" s="4" t="s">
        <v>23</v>
      </c>
      <c r="H41" s="4" t="s">
        <v>23</v>
      </c>
      <c r="I41" s="4" t="s">
        <v>23</v>
      </c>
    </row>
    <row r="42" ht="34" customHeight="1" spans="1:9" x14ac:dyDescent="0.25">
      <c r="A42" s="3" t="s">
        <v>247</v>
      </c>
      <c r="B42" s="4" t="s">
        <v>213</v>
      </c>
      <c r="C42" s="3" t="s">
        <v>65</v>
      </c>
      <c r="D42" s="4" t="s">
        <v>249</v>
      </c>
      <c r="E42" s="3" t="s">
        <v>6</v>
      </c>
      <c r="F42" s="3" t="s">
        <v>22</v>
      </c>
      <c r="G42" s="4" t="s">
        <v>23</v>
      </c>
      <c r="H42" s="4" t="s">
        <v>23</v>
      </c>
      <c r="I42" s="4" t="s">
        <v>23</v>
      </c>
    </row>
    <row r="43" ht="34" customHeight="1" spans="1:9" x14ac:dyDescent="0.25">
      <c r="A43" s="3" t="s">
        <v>251</v>
      </c>
      <c r="B43" s="4" t="s">
        <v>213</v>
      </c>
      <c r="C43" s="3" t="s">
        <v>65</v>
      </c>
      <c r="D43" s="4" t="s">
        <v>252</v>
      </c>
      <c r="E43" s="3" t="s">
        <v>6</v>
      </c>
      <c r="F43" s="3" t="s">
        <v>22</v>
      </c>
      <c r="G43" s="4" t="s">
        <v>23</v>
      </c>
      <c r="H43" s="4" t="s">
        <v>23</v>
      </c>
      <c r="I43" s="4" t="s">
        <v>23</v>
      </c>
    </row>
    <row r="44" ht="48" customHeight="1" spans="1:9" x14ac:dyDescent="0.25">
      <c r="A44" s="3" t="s">
        <v>267</v>
      </c>
      <c r="B44" s="4" t="s">
        <v>213</v>
      </c>
      <c r="C44" s="3" t="s">
        <v>51</v>
      </c>
      <c r="D44" s="4" t="s">
        <v>268</v>
      </c>
      <c r="E44" s="3" t="s">
        <v>6</v>
      </c>
      <c r="F44" s="3" t="s">
        <v>22</v>
      </c>
      <c r="G44" s="4" t="s">
        <v>23</v>
      </c>
      <c r="H44" s="4" t="s">
        <v>23</v>
      </c>
      <c r="I44" s="4" t="s">
        <v>23</v>
      </c>
    </row>
    <row r="45" ht="34" customHeight="1" spans="1:9" x14ac:dyDescent="0.25">
      <c r="A45" s="3" t="s">
        <v>276</v>
      </c>
      <c r="B45" s="4" t="s">
        <v>213</v>
      </c>
      <c r="C45" s="3" t="s">
        <v>18</v>
      </c>
      <c r="D45" s="4" t="s">
        <v>277</v>
      </c>
      <c r="E45" s="3" t="s">
        <v>6</v>
      </c>
      <c r="F45" s="3" t="s">
        <v>22</v>
      </c>
      <c r="G45" s="4" t="s">
        <v>23</v>
      </c>
      <c r="H45" s="4" t="s">
        <v>23</v>
      </c>
      <c r="I45" s="4" t="s">
        <v>23</v>
      </c>
    </row>
    <row r="46" ht="34" customHeight="1" spans="1:9" x14ac:dyDescent="0.25">
      <c r="A46" s="3" t="s">
        <v>278</v>
      </c>
      <c r="B46" s="4" t="s">
        <v>213</v>
      </c>
      <c r="C46" s="3" t="s">
        <v>65</v>
      </c>
      <c r="D46" s="4" t="s">
        <v>280</v>
      </c>
      <c r="E46" s="3" t="s">
        <v>6</v>
      </c>
      <c r="F46" s="3" t="s">
        <v>22</v>
      </c>
      <c r="G46" s="4" t="s">
        <v>23</v>
      </c>
      <c r="H46" s="4" t="s">
        <v>23</v>
      </c>
      <c r="I46" s="4" t="s">
        <v>23</v>
      </c>
    </row>
    <row r="47" ht="34" customHeight="1" spans="1:9" x14ac:dyDescent="0.25">
      <c r="A47" s="3" t="s">
        <v>281</v>
      </c>
      <c r="B47" s="4" t="s">
        <v>213</v>
      </c>
      <c r="C47" s="3" t="s">
        <v>65</v>
      </c>
      <c r="D47" s="4" t="s">
        <v>282</v>
      </c>
      <c r="E47" s="3" t="s">
        <v>6</v>
      </c>
      <c r="F47" s="3" t="s">
        <v>22</v>
      </c>
      <c r="G47" s="4" t="s">
        <v>23</v>
      </c>
      <c r="H47" s="4" t="s">
        <v>23</v>
      </c>
      <c r="I47" s="4" t="s">
        <v>23</v>
      </c>
    </row>
    <row r="48" ht="34" customHeight="1" spans="1:9" x14ac:dyDescent="0.25">
      <c r="A48" s="3" t="s">
        <v>283</v>
      </c>
      <c r="B48" s="4" t="s">
        <v>213</v>
      </c>
      <c r="C48" s="3" t="s">
        <v>65</v>
      </c>
      <c r="D48" s="4" t="s">
        <v>284</v>
      </c>
      <c r="E48" s="3" t="s">
        <v>6</v>
      </c>
      <c r="F48" s="3" t="s">
        <v>22</v>
      </c>
      <c r="G48" s="4" t="s">
        <v>23</v>
      </c>
      <c r="H48" s="4" t="s">
        <v>23</v>
      </c>
      <c r="I48" s="4" t="s">
        <v>23</v>
      </c>
    </row>
    <row r="49" ht="34" customHeight="1" spans="1:9" x14ac:dyDescent="0.25">
      <c r="A49" s="3" t="s">
        <v>289</v>
      </c>
      <c r="B49" s="4" t="s">
        <v>290</v>
      </c>
      <c r="C49" s="3" t="s">
        <v>232</v>
      </c>
      <c r="D49" s="4" t="s">
        <v>292</v>
      </c>
      <c r="E49" s="3" t="s">
        <v>6</v>
      </c>
      <c r="F49" s="3" t="s">
        <v>22</v>
      </c>
      <c r="G49" s="4" t="s">
        <v>23</v>
      </c>
      <c r="H49" s="4" t="s">
        <v>23</v>
      </c>
      <c r="I49" s="4" t="s">
        <v>23</v>
      </c>
    </row>
    <row r="50" ht="20" customHeight="1" spans="1:9" x14ac:dyDescent="0.25">
      <c r="A50" s="3" t="s">
        <v>294</v>
      </c>
      <c r="B50" s="4" t="s">
        <v>290</v>
      </c>
      <c r="C50" s="3" t="s">
        <v>232</v>
      </c>
      <c r="D50" s="4" t="s">
        <v>295</v>
      </c>
      <c r="E50" s="3" t="s">
        <v>6</v>
      </c>
      <c r="F50" s="3" t="s">
        <v>22</v>
      </c>
      <c r="G50" s="4" t="s">
        <v>23</v>
      </c>
      <c r="H50" s="4" t="s">
        <v>23</v>
      </c>
      <c r="I50" s="4" t="s">
        <v>23</v>
      </c>
    </row>
    <row r="51" ht="34" customHeight="1" spans="1:9" x14ac:dyDescent="0.25">
      <c r="A51" s="3" t="s">
        <v>300</v>
      </c>
      <c r="B51" s="4" t="s">
        <v>290</v>
      </c>
      <c r="C51" s="3" t="s">
        <v>232</v>
      </c>
      <c r="D51" s="4" t="s">
        <v>302</v>
      </c>
      <c r="E51" s="3" t="s">
        <v>6</v>
      </c>
      <c r="F51" s="3" t="s">
        <v>22</v>
      </c>
      <c r="G51" s="4" t="s">
        <v>23</v>
      </c>
      <c r="H51" s="4" t="s">
        <v>23</v>
      </c>
      <c r="I51" s="4" t="s">
        <v>23</v>
      </c>
    </row>
    <row r="52" ht="48" customHeight="1" spans="1:9" x14ac:dyDescent="0.25">
      <c r="A52" s="3" t="s">
        <v>304</v>
      </c>
      <c r="B52" s="4" t="s">
        <v>290</v>
      </c>
      <c r="C52" s="3" t="s">
        <v>18</v>
      </c>
      <c r="D52" s="4" t="s">
        <v>305</v>
      </c>
      <c r="E52" s="3" t="s">
        <v>6</v>
      </c>
      <c r="F52" s="3" t="s">
        <v>22</v>
      </c>
      <c r="G52" s="4" t="s">
        <v>23</v>
      </c>
      <c r="H52" s="4" t="s">
        <v>23</v>
      </c>
      <c r="I52" s="4" t="s">
        <v>23</v>
      </c>
    </row>
    <row r="53" ht="34" customHeight="1" spans="1:9" x14ac:dyDescent="0.25">
      <c r="A53" s="3" t="s">
        <v>310</v>
      </c>
      <c r="B53" s="4" t="s">
        <v>290</v>
      </c>
      <c r="C53" s="3" t="s">
        <v>232</v>
      </c>
      <c r="D53" s="4" t="s">
        <v>312</v>
      </c>
      <c r="E53" s="3" t="s">
        <v>6</v>
      </c>
      <c r="F53" s="3" t="s">
        <v>22</v>
      </c>
      <c r="G53" s="4" t="s">
        <v>23</v>
      </c>
      <c r="H53" s="4" t="s">
        <v>23</v>
      </c>
      <c r="I53" s="4" t="s">
        <v>23</v>
      </c>
    </row>
    <row r="54" ht="34" customHeight="1" spans="1:9" x14ac:dyDescent="0.25">
      <c r="A54" s="3" t="s">
        <v>314</v>
      </c>
      <c r="B54" s="4" t="s">
        <v>290</v>
      </c>
      <c r="C54" s="3" t="s">
        <v>62</v>
      </c>
      <c r="D54" s="4" t="s">
        <v>315</v>
      </c>
      <c r="E54" s="3" t="s">
        <v>6</v>
      </c>
      <c r="F54" s="3" t="s">
        <v>22</v>
      </c>
      <c r="G54" s="4" t="s">
        <v>23</v>
      </c>
      <c r="H54" s="4" t="s">
        <v>23</v>
      </c>
      <c r="I54" s="4" t="s">
        <v>23</v>
      </c>
    </row>
    <row r="55" ht="48" customHeight="1" spans="1:9" x14ac:dyDescent="0.25">
      <c r="A55" s="3" t="s">
        <v>320</v>
      </c>
      <c r="B55" s="4" t="s">
        <v>290</v>
      </c>
      <c r="C55" s="3" t="s">
        <v>62</v>
      </c>
      <c r="D55" s="4" t="s">
        <v>321</v>
      </c>
      <c r="E55" s="3" t="s">
        <v>6</v>
      </c>
      <c r="F55" s="3" t="s">
        <v>22</v>
      </c>
      <c r="G55" s="4" t="s">
        <v>23</v>
      </c>
      <c r="H55" s="4" t="s">
        <v>23</v>
      </c>
      <c r="I55" s="4" t="s">
        <v>23</v>
      </c>
    </row>
    <row r="56" ht="34" customHeight="1" spans="1:9" x14ac:dyDescent="0.25">
      <c r="A56" s="3" t="s">
        <v>322</v>
      </c>
      <c r="B56" s="4" t="s">
        <v>290</v>
      </c>
      <c r="C56" s="3" t="s">
        <v>232</v>
      </c>
      <c r="D56" s="4" t="s">
        <v>324</v>
      </c>
      <c r="E56" s="3" t="s">
        <v>6</v>
      </c>
      <c r="F56" s="3" t="s">
        <v>22</v>
      </c>
      <c r="G56" s="4" t="s">
        <v>23</v>
      </c>
      <c r="H56" s="4" t="s">
        <v>23</v>
      </c>
      <c r="I56" s="4" t="s">
        <v>23</v>
      </c>
    </row>
    <row r="57" ht="34" customHeight="1" spans="1:9" x14ac:dyDescent="0.25">
      <c r="A57" s="3" t="s">
        <v>326</v>
      </c>
      <c r="B57" s="4" t="s">
        <v>290</v>
      </c>
      <c r="C57" s="3" t="s">
        <v>232</v>
      </c>
      <c r="D57" s="4" t="s">
        <v>327</v>
      </c>
      <c r="E57" s="3" t="s">
        <v>6</v>
      </c>
      <c r="F57" s="3" t="s">
        <v>22</v>
      </c>
      <c r="G57" s="4" t="s">
        <v>23</v>
      </c>
      <c r="H57" s="4" t="s">
        <v>23</v>
      </c>
      <c r="I57" s="4" t="s">
        <v>23</v>
      </c>
    </row>
    <row r="58" ht="48" customHeight="1" spans="1:9" x14ac:dyDescent="0.25">
      <c r="A58" s="3" t="s">
        <v>328</v>
      </c>
      <c r="B58" s="4" t="s">
        <v>290</v>
      </c>
      <c r="C58" s="3" t="s">
        <v>62</v>
      </c>
      <c r="D58" s="4" t="s">
        <v>329</v>
      </c>
      <c r="E58" s="3" t="s">
        <v>6</v>
      </c>
      <c r="F58" s="3" t="s">
        <v>22</v>
      </c>
      <c r="G58" s="4" t="s">
        <v>23</v>
      </c>
      <c r="H58" s="4" t="s">
        <v>23</v>
      </c>
      <c r="I58" s="4" t="s">
        <v>23</v>
      </c>
    </row>
    <row r="59" ht="34" customHeight="1" spans="1:9" x14ac:dyDescent="0.25">
      <c r="A59" s="3" t="s">
        <v>330</v>
      </c>
      <c r="B59" s="4" t="s">
        <v>290</v>
      </c>
      <c r="C59" s="3" t="s">
        <v>65</v>
      </c>
      <c r="D59" s="4" t="s">
        <v>331</v>
      </c>
      <c r="E59" s="3" t="s">
        <v>6</v>
      </c>
      <c r="F59" s="3" t="s">
        <v>22</v>
      </c>
      <c r="G59" s="4" t="s">
        <v>23</v>
      </c>
      <c r="H59" s="4" t="s">
        <v>23</v>
      </c>
      <c r="I59" s="4" t="s">
        <v>23</v>
      </c>
    </row>
    <row r="60" ht="20" customHeight="1" spans="1:9" x14ac:dyDescent="0.25">
      <c r="A60" s="3" t="s">
        <v>332</v>
      </c>
      <c r="B60" s="4" t="s">
        <v>290</v>
      </c>
      <c r="C60" s="3" t="s">
        <v>62</v>
      </c>
      <c r="D60" s="4" t="s">
        <v>334</v>
      </c>
      <c r="E60" s="3" t="s">
        <v>6</v>
      </c>
      <c r="F60" s="3" t="s">
        <v>22</v>
      </c>
      <c r="G60" s="4" t="s">
        <v>23</v>
      </c>
      <c r="H60" s="4" t="s">
        <v>23</v>
      </c>
      <c r="I60" s="4" t="s">
        <v>23</v>
      </c>
    </row>
    <row r="61" ht="20" customHeight="1" spans="1:9" x14ac:dyDescent="0.25">
      <c r="A61" s="3" t="s">
        <v>335</v>
      </c>
      <c r="B61" s="4" t="s">
        <v>290</v>
      </c>
      <c r="C61" s="3" t="s">
        <v>62</v>
      </c>
      <c r="D61" s="4" t="s">
        <v>336</v>
      </c>
      <c r="E61" s="3" t="s">
        <v>6</v>
      </c>
      <c r="F61" s="3" t="s">
        <v>22</v>
      </c>
      <c r="G61" s="4" t="s">
        <v>23</v>
      </c>
      <c r="H61" s="4" t="s">
        <v>23</v>
      </c>
      <c r="I61" s="4" t="s">
        <v>23</v>
      </c>
    </row>
    <row r="62" ht="34" customHeight="1" spans="1:9" x14ac:dyDescent="0.25">
      <c r="A62" s="3" t="s">
        <v>339</v>
      </c>
      <c r="B62" s="4" t="s">
        <v>290</v>
      </c>
      <c r="C62" s="3" t="s">
        <v>62</v>
      </c>
      <c r="D62" s="4" t="s">
        <v>340</v>
      </c>
      <c r="E62" s="3" t="s">
        <v>6</v>
      </c>
      <c r="F62" s="3" t="s">
        <v>22</v>
      </c>
      <c r="G62" s="4" t="s">
        <v>23</v>
      </c>
      <c r="H62" s="4" t="s">
        <v>23</v>
      </c>
      <c r="I62" s="4" t="s">
        <v>23</v>
      </c>
    </row>
    <row r="63" ht="20" customHeight="1" spans="1:9" x14ac:dyDescent="0.25">
      <c r="A63" s="3" t="s">
        <v>341</v>
      </c>
      <c r="B63" s="4" t="s">
        <v>290</v>
      </c>
      <c r="C63" s="3" t="s">
        <v>62</v>
      </c>
      <c r="D63" s="4" t="s">
        <v>342</v>
      </c>
      <c r="E63" s="3" t="s">
        <v>6</v>
      </c>
      <c r="F63" s="3" t="s">
        <v>22</v>
      </c>
      <c r="G63" s="4" t="s">
        <v>23</v>
      </c>
      <c r="H63" s="4" t="s">
        <v>23</v>
      </c>
      <c r="I63" s="4" t="s">
        <v>23</v>
      </c>
    </row>
    <row r="64" ht="20" customHeight="1" spans="1:9" x14ac:dyDescent="0.25">
      <c r="A64" s="3" t="s">
        <v>345</v>
      </c>
      <c r="B64" s="4" t="s">
        <v>290</v>
      </c>
      <c r="C64" s="3" t="s">
        <v>111</v>
      </c>
      <c r="D64" s="4" t="s">
        <v>347</v>
      </c>
      <c r="E64" s="3" t="s">
        <v>6</v>
      </c>
      <c r="F64" s="3" t="s">
        <v>22</v>
      </c>
      <c r="G64" s="4" t="s">
        <v>23</v>
      </c>
      <c r="H64" s="4" t="s">
        <v>23</v>
      </c>
      <c r="I64" s="4" t="s">
        <v>23</v>
      </c>
    </row>
    <row r="65" ht="34" customHeight="1" spans="1:9" x14ac:dyDescent="0.25">
      <c r="A65" s="3" t="s">
        <v>355</v>
      </c>
      <c r="B65" s="4" t="s">
        <v>356</v>
      </c>
      <c r="C65" s="3" t="s">
        <v>62</v>
      </c>
      <c r="D65" s="4" t="s">
        <v>358</v>
      </c>
      <c r="E65" s="3" t="s">
        <v>6</v>
      </c>
      <c r="F65" s="3" t="s">
        <v>22</v>
      </c>
      <c r="G65" s="4" t="s">
        <v>23</v>
      </c>
      <c r="H65" s="4" t="s">
        <v>23</v>
      </c>
      <c r="I65" s="4" t="s">
        <v>23</v>
      </c>
    </row>
    <row r="66" ht="34" customHeight="1" spans="1:9" x14ac:dyDescent="0.25">
      <c r="A66" s="3" t="s">
        <v>363</v>
      </c>
      <c r="B66" s="4" t="s">
        <v>356</v>
      </c>
      <c r="C66" s="3" t="s">
        <v>62</v>
      </c>
      <c r="D66" s="4" t="s">
        <v>365</v>
      </c>
      <c r="E66" s="3" t="s">
        <v>6</v>
      </c>
      <c r="F66" s="3" t="s">
        <v>22</v>
      </c>
      <c r="G66" s="4" t="s">
        <v>23</v>
      </c>
      <c r="H66" s="4" t="s">
        <v>23</v>
      </c>
      <c r="I66" s="4" t="s">
        <v>23</v>
      </c>
    </row>
    <row r="67" ht="34" customHeight="1" spans="1:9" x14ac:dyDescent="0.25">
      <c r="A67" s="3" t="s">
        <v>372</v>
      </c>
      <c r="B67" s="4" t="s">
        <v>356</v>
      </c>
      <c r="C67" s="3" t="s">
        <v>111</v>
      </c>
      <c r="D67" s="4" t="s">
        <v>374</v>
      </c>
      <c r="E67" s="3" t="s">
        <v>6</v>
      </c>
      <c r="F67" s="3" t="s">
        <v>22</v>
      </c>
      <c r="G67" s="4" t="s">
        <v>23</v>
      </c>
      <c r="H67" s="4" t="s">
        <v>23</v>
      </c>
      <c r="I67" s="4" t="s">
        <v>23</v>
      </c>
    </row>
    <row r="68" ht="34" customHeight="1" spans="1:9" x14ac:dyDescent="0.25">
      <c r="A68" s="3" t="s">
        <v>375</v>
      </c>
      <c r="B68" s="4" t="s">
        <v>356</v>
      </c>
      <c r="C68" s="3" t="s">
        <v>111</v>
      </c>
      <c r="D68" s="4" t="s">
        <v>376</v>
      </c>
      <c r="E68" s="3" t="s">
        <v>6</v>
      </c>
      <c r="F68" s="3" t="s">
        <v>22</v>
      </c>
      <c r="G68" s="4" t="s">
        <v>23</v>
      </c>
      <c r="H68" s="4" t="s">
        <v>23</v>
      </c>
      <c r="I68" s="4" t="s">
        <v>23</v>
      </c>
    </row>
    <row r="69" ht="34" customHeight="1" spans="1:9" x14ac:dyDescent="0.25">
      <c r="A69" s="3" t="s">
        <v>387</v>
      </c>
      <c r="B69" s="4" t="s">
        <v>388</v>
      </c>
      <c r="C69" s="3" t="s">
        <v>32</v>
      </c>
      <c r="D69" s="4" t="s">
        <v>390</v>
      </c>
      <c r="E69" s="3" t="s">
        <v>6</v>
      </c>
      <c r="F69" s="3" t="s">
        <v>22</v>
      </c>
      <c r="G69" s="4" t="s">
        <v>23</v>
      </c>
      <c r="H69" s="4" t="s">
        <v>23</v>
      </c>
      <c r="I69" s="4" t="s">
        <v>23</v>
      </c>
    </row>
    <row r="70" ht="34" customHeight="1" spans="1:9" x14ac:dyDescent="0.25">
      <c r="A70" s="3" t="s">
        <v>392</v>
      </c>
      <c r="B70" s="4" t="s">
        <v>388</v>
      </c>
      <c r="C70" s="3" t="s">
        <v>32</v>
      </c>
      <c r="D70" s="4" t="s">
        <v>393</v>
      </c>
      <c r="E70" s="3" t="s">
        <v>6</v>
      </c>
      <c r="F70" s="3" t="s">
        <v>22</v>
      </c>
      <c r="G70" s="4" t="s">
        <v>23</v>
      </c>
      <c r="H70" s="4" t="s">
        <v>23</v>
      </c>
      <c r="I70" s="4" t="s">
        <v>23</v>
      </c>
    </row>
    <row r="71" ht="20" customHeight="1" spans="1:9" x14ac:dyDescent="0.25">
      <c r="A71" s="3" t="s">
        <v>398</v>
      </c>
      <c r="B71" s="4" t="s">
        <v>388</v>
      </c>
      <c r="C71" s="3" t="s">
        <v>62</v>
      </c>
      <c r="D71" s="4" t="s">
        <v>400</v>
      </c>
      <c r="E71" s="3" t="s">
        <v>6</v>
      </c>
      <c r="F71" s="3" t="s">
        <v>22</v>
      </c>
      <c r="G71" s="4" t="s">
        <v>23</v>
      </c>
      <c r="H71" s="4" t="s">
        <v>23</v>
      </c>
      <c r="I71" s="4" t="s">
        <v>23</v>
      </c>
    </row>
    <row r="72" ht="34" customHeight="1" spans="1:9" x14ac:dyDescent="0.25">
      <c r="A72" s="3" t="s">
        <v>411</v>
      </c>
      <c r="B72" s="4" t="s">
        <v>388</v>
      </c>
      <c r="C72" s="3" t="s">
        <v>32</v>
      </c>
      <c r="D72" s="4" t="s">
        <v>413</v>
      </c>
      <c r="E72" s="3" t="s">
        <v>6</v>
      </c>
      <c r="F72" s="3" t="s">
        <v>22</v>
      </c>
      <c r="G72" s="4" t="s">
        <v>23</v>
      </c>
      <c r="H72" s="4" t="s">
        <v>23</v>
      </c>
      <c r="I72" s="4" t="s">
        <v>23</v>
      </c>
    </row>
    <row r="73" ht="34" customHeight="1" spans="1:9" x14ac:dyDescent="0.25">
      <c r="A73" s="3" t="s">
        <v>414</v>
      </c>
      <c r="B73" s="4" t="s">
        <v>388</v>
      </c>
      <c r="C73" s="3" t="s">
        <v>32</v>
      </c>
      <c r="D73" s="4" t="s">
        <v>415</v>
      </c>
      <c r="E73" s="3" t="s">
        <v>6</v>
      </c>
      <c r="F73" s="3" t="s">
        <v>22</v>
      </c>
      <c r="G73" s="4" t="s">
        <v>23</v>
      </c>
      <c r="H73" s="4" t="s">
        <v>23</v>
      </c>
      <c r="I73" s="4" t="s">
        <v>23</v>
      </c>
    </row>
    <row r="74" ht="34" customHeight="1" spans="1:9" x14ac:dyDescent="0.25">
      <c r="A74" s="3" t="s">
        <v>425</v>
      </c>
      <c r="B74" s="4" t="s">
        <v>388</v>
      </c>
      <c r="C74" s="3" t="s">
        <v>65</v>
      </c>
      <c r="D74" s="4" t="s">
        <v>426</v>
      </c>
      <c r="E74" s="3" t="s">
        <v>6</v>
      </c>
      <c r="F74" s="3" t="s">
        <v>22</v>
      </c>
      <c r="G74" s="4" t="s">
        <v>23</v>
      </c>
      <c r="H74" s="4" t="s">
        <v>23</v>
      </c>
      <c r="I74" s="4" t="s">
        <v>23</v>
      </c>
    </row>
    <row r="75" ht="34" customHeight="1" spans="1:9" x14ac:dyDescent="0.25">
      <c r="A75" s="3" t="s">
        <v>435</v>
      </c>
      <c r="B75" s="4" t="s">
        <v>436</v>
      </c>
      <c r="C75" s="3" t="s">
        <v>403</v>
      </c>
      <c r="D75" s="4" t="s">
        <v>438</v>
      </c>
      <c r="E75" s="3" t="s">
        <v>6</v>
      </c>
      <c r="F75" s="3" t="s">
        <v>22</v>
      </c>
      <c r="G75" s="4" t="s">
        <v>23</v>
      </c>
      <c r="H75" s="4" t="s">
        <v>23</v>
      </c>
      <c r="I75" s="4" t="s">
        <v>23</v>
      </c>
    </row>
    <row r="76" ht="34" customHeight="1" spans="1:9" x14ac:dyDescent="0.25">
      <c r="A76" s="3" t="s">
        <v>440</v>
      </c>
      <c r="B76" s="4" t="s">
        <v>436</v>
      </c>
      <c r="C76" s="3" t="s">
        <v>403</v>
      </c>
      <c r="D76" s="4" t="s">
        <v>441</v>
      </c>
      <c r="E76" s="3" t="s">
        <v>6</v>
      </c>
      <c r="F76" s="3" t="s">
        <v>22</v>
      </c>
      <c r="G76" s="4" t="s">
        <v>23</v>
      </c>
      <c r="H76" s="4" t="s">
        <v>23</v>
      </c>
      <c r="I76" s="4" t="s">
        <v>23</v>
      </c>
    </row>
    <row r="77" ht="34" customHeight="1" spans="1:9" x14ac:dyDescent="0.25">
      <c r="A77" s="3" t="s">
        <v>444</v>
      </c>
      <c r="B77" s="4" t="s">
        <v>436</v>
      </c>
      <c r="C77" s="3" t="s">
        <v>65</v>
      </c>
      <c r="D77" s="4" t="s">
        <v>446</v>
      </c>
      <c r="E77" s="3" t="s">
        <v>6</v>
      </c>
      <c r="F77" s="3" t="s">
        <v>22</v>
      </c>
      <c r="G77" s="4" t="s">
        <v>23</v>
      </c>
      <c r="H77" s="4" t="s">
        <v>23</v>
      </c>
      <c r="I77" s="4" t="s">
        <v>23</v>
      </c>
    </row>
    <row r="78" ht="34" customHeight="1" spans="1:9" x14ac:dyDescent="0.25">
      <c r="A78" s="3" t="s">
        <v>448</v>
      </c>
      <c r="B78" s="4" t="s">
        <v>436</v>
      </c>
      <c r="C78" s="3" t="s">
        <v>65</v>
      </c>
      <c r="D78" s="4" t="s">
        <v>449</v>
      </c>
      <c r="E78" s="3" t="s">
        <v>6</v>
      </c>
      <c r="F78" s="3" t="s">
        <v>22</v>
      </c>
      <c r="G78" s="4" t="s">
        <v>23</v>
      </c>
      <c r="H78" s="4" t="s">
        <v>23</v>
      </c>
      <c r="I78" s="4" t="s">
        <v>23</v>
      </c>
    </row>
    <row r="79" ht="34" customHeight="1" spans="1:9" x14ac:dyDescent="0.25">
      <c r="A79" s="3" t="s">
        <v>456</v>
      </c>
      <c r="B79" s="4" t="s">
        <v>436</v>
      </c>
      <c r="C79" s="3" t="s">
        <v>403</v>
      </c>
      <c r="D79" s="4" t="s">
        <v>457</v>
      </c>
      <c r="E79" s="3" t="s">
        <v>6</v>
      </c>
      <c r="F79" s="3" t="s">
        <v>22</v>
      </c>
      <c r="G79" s="4" t="s">
        <v>23</v>
      </c>
      <c r="H79" s="4" t="s">
        <v>23</v>
      </c>
      <c r="I79" s="4" t="s">
        <v>23</v>
      </c>
    </row>
    <row r="80" ht="34" customHeight="1" spans="1:9" x14ac:dyDescent="0.25">
      <c r="A80" s="3" t="s">
        <v>495</v>
      </c>
      <c r="B80" s="4" t="s">
        <v>492</v>
      </c>
      <c r="C80" s="3" t="s">
        <v>111</v>
      </c>
      <c r="D80" s="4" t="s">
        <v>496</v>
      </c>
      <c r="E80" s="3" t="s">
        <v>6</v>
      </c>
      <c r="F80" s="3" t="s">
        <v>22</v>
      </c>
      <c r="G80" s="4" t="s">
        <v>23</v>
      </c>
      <c r="H80" s="4" t="s">
        <v>23</v>
      </c>
      <c r="I80" s="4" t="s">
        <v>23</v>
      </c>
    </row>
    <row r="81" ht="34" customHeight="1" spans="1:9" x14ac:dyDescent="0.25">
      <c r="A81" s="3" t="s">
        <v>497</v>
      </c>
      <c r="B81" s="4" t="s">
        <v>492</v>
      </c>
      <c r="C81" s="3" t="s">
        <v>111</v>
      </c>
      <c r="D81" s="4" t="s">
        <v>498</v>
      </c>
      <c r="E81" s="3" t="s">
        <v>6</v>
      </c>
      <c r="F81" s="3" t="s">
        <v>22</v>
      </c>
      <c r="G81" s="4" t="s">
        <v>23</v>
      </c>
      <c r="H81" s="4" t="s">
        <v>23</v>
      </c>
      <c r="I81" s="4" t="s">
        <v>23</v>
      </c>
    </row>
    <row r="82" ht="34" customHeight="1" spans="1:9" x14ac:dyDescent="0.25">
      <c r="A82" s="3" t="s">
        <v>501</v>
      </c>
      <c r="B82" s="4" t="s">
        <v>492</v>
      </c>
      <c r="C82" s="3" t="s">
        <v>111</v>
      </c>
      <c r="D82" s="4" t="s">
        <v>503</v>
      </c>
      <c r="E82" s="3" t="s">
        <v>6</v>
      </c>
      <c r="F82" s="3" t="s">
        <v>22</v>
      </c>
      <c r="G82" s="4" t="s">
        <v>23</v>
      </c>
      <c r="H82" s="4" t="s">
        <v>23</v>
      </c>
      <c r="I82" s="4" t="s">
        <v>23</v>
      </c>
    </row>
    <row r="83" ht="48" customHeight="1" spans="1:9" x14ac:dyDescent="0.25">
      <c r="A83" s="3" t="s">
        <v>517</v>
      </c>
      <c r="B83" s="4" t="s">
        <v>492</v>
      </c>
      <c r="C83" s="3" t="s">
        <v>111</v>
      </c>
      <c r="D83" s="4" t="s">
        <v>518</v>
      </c>
      <c r="E83" s="3" t="s">
        <v>6</v>
      </c>
      <c r="F83" s="3" t="s">
        <v>22</v>
      </c>
      <c r="G83" s="4" t="s">
        <v>23</v>
      </c>
      <c r="H83" s="4" t="s">
        <v>23</v>
      </c>
      <c r="I83" s="4" t="s">
        <v>23</v>
      </c>
    </row>
    <row r="84" ht="34" customHeight="1" spans="1:9" x14ac:dyDescent="0.25">
      <c r="A84" s="3" t="s">
        <v>535</v>
      </c>
      <c r="B84" s="4" t="s">
        <v>492</v>
      </c>
      <c r="C84" s="3" t="s">
        <v>111</v>
      </c>
      <c r="D84" s="4" t="s">
        <v>537</v>
      </c>
      <c r="E84" s="3" t="s">
        <v>6</v>
      </c>
      <c r="F84" s="3" t="s">
        <v>22</v>
      </c>
      <c r="G84" s="4" t="s">
        <v>23</v>
      </c>
      <c r="H84" s="4" t="s">
        <v>23</v>
      </c>
      <c r="I84" s="4" t="s">
        <v>23</v>
      </c>
    </row>
    <row r="85" ht="34" customHeight="1" spans="1:9" x14ac:dyDescent="0.25">
      <c r="A85" s="3" t="s">
        <v>538</v>
      </c>
      <c r="B85" s="4" t="s">
        <v>492</v>
      </c>
      <c r="C85" s="3" t="s">
        <v>76</v>
      </c>
      <c r="D85" s="4" t="s">
        <v>539</v>
      </c>
      <c r="E85" s="3" t="s">
        <v>6</v>
      </c>
      <c r="F85" s="3" t="s">
        <v>22</v>
      </c>
      <c r="G85" s="4" t="s">
        <v>23</v>
      </c>
      <c r="H85" s="4" t="s">
        <v>23</v>
      </c>
      <c r="I85" s="4" t="s">
        <v>23</v>
      </c>
    </row>
    <row r="86" ht="34" customHeight="1" spans="1:9" x14ac:dyDescent="0.25">
      <c r="A86" s="3" t="s">
        <v>540</v>
      </c>
      <c r="B86" s="4" t="s">
        <v>492</v>
      </c>
      <c r="C86" s="3" t="s">
        <v>111</v>
      </c>
      <c r="D86" s="4" t="s">
        <v>541</v>
      </c>
      <c r="E86" s="3" t="s">
        <v>6</v>
      </c>
      <c r="F86" s="3" t="s">
        <v>22</v>
      </c>
      <c r="G86" s="4" t="s">
        <v>23</v>
      </c>
      <c r="H86" s="4" t="s">
        <v>23</v>
      </c>
      <c r="I86" s="4" t="s">
        <v>23</v>
      </c>
    </row>
    <row r="87" ht="34" customHeight="1" spans="1:9" x14ac:dyDescent="0.25">
      <c r="A87" s="3" t="s">
        <v>542</v>
      </c>
      <c r="B87" s="4" t="s">
        <v>492</v>
      </c>
      <c r="C87" s="3" t="s">
        <v>111</v>
      </c>
      <c r="D87" s="4" t="s">
        <v>544</v>
      </c>
      <c r="E87" s="3" t="s">
        <v>6</v>
      </c>
      <c r="F87" s="3" t="s">
        <v>22</v>
      </c>
      <c r="G87" s="4" t="s">
        <v>23</v>
      </c>
      <c r="H87" s="4" t="s">
        <v>23</v>
      </c>
      <c r="I87" s="4" t="s">
        <v>23</v>
      </c>
    </row>
    <row r="88" ht="34" customHeight="1" spans="1:9" x14ac:dyDescent="0.25">
      <c r="A88" s="3" t="s">
        <v>545</v>
      </c>
      <c r="B88" s="4" t="s">
        <v>492</v>
      </c>
      <c r="C88" s="3" t="s">
        <v>79</v>
      </c>
      <c r="D88" s="4" t="s">
        <v>546</v>
      </c>
      <c r="E88" s="3" t="s">
        <v>6</v>
      </c>
      <c r="F88" s="3" t="s">
        <v>22</v>
      </c>
      <c r="G88" s="4" t="s">
        <v>23</v>
      </c>
      <c r="H88" s="4" t="s">
        <v>23</v>
      </c>
      <c r="I88" s="4" t="s">
        <v>23</v>
      </c>
    </row>
    <row r="89" ht="34" customHeight="1" spans="1:9" x14ac:dyDescent="0.25">
      <c r="A89" s="3" t="s">
        <v>551</v>
      </c>
      <c r="B89" s="4" t="s">
        <v>552</v>
      </c>
      <c r="C89" s="3" t="s">
        <v>79</v>
      </c>
      <c r="D89" s="4" t="s">
        <v>554</v>
      </c>
      <c r="E89" s="3" t="s">
        <v>6</v>
      </c>
      <c r="F89" s="3" t="s">
        <v>22</v>
      </c>
      <c r="G89" s="4" t="s">
        <v>23</v>
      </c>
      <c r="H89" s="4" t="s">
        <v>23</v>
      </c>
      <c r="I89" s="4" t="s">
        <v>23</v>
      </c>
    </row>
    <row r="90" ht="34" customHeight="1" spans="1:9" x14ac:dyDescent="0.25">
      <c r="A90" s="3" t="s">
        <v>555</v>
      </c>
      <c r="B90" s="4" t="s">
        <v>552</v>
      </c>
      <c r="C90" s="3" t="s">
        <v>79</v>
      </c>
      <c r="D90" s="4" t="s">
        <v>556</v>
      </c>
      <c r="E90" s="3" t="s">
        <v>6</v>
      </c>
      <c r="F90" s="3" t="s">
        <v>22</v>
      </c>
      <c r="G90" s="4" t="s">
        <v>23</v>
      </c>
      <c r="H90" s="4" t="s">
        <v>23</v>
      </c>
      <c r="I90" s="4" t="s">
        <v>23</v>
      </c>
    </row>
    <row r="91" ht="34" customHeight="1" spans="1:9" x14ac:dyDescent="0.25">
      <c r="A91" s="3" t="s">
        <v>565</v>
      </c>
      <c r="B91" s="4" t="s">
        <v>552</v>
      </c>
      <c r="C91" s="3" t="s">
        <v>79</v>
      </c>
      <c r="D91" s="4" t="s">
        <v>567</v>
      </c>
      <c r="E91" s="3" t="s">
        <v>6</v>
      </c>
      <c r="F91" s="3" t="s">
        <v>22</v>
      </c>
      <c r="G91" s="4" t="s">
        <v>23</v>
      </c>
      <c r="H91" s="4" t="s">
        <v>23</v>
      </c>
      <c r="I91" s="4" t="s">
        <v>23</v>
      </c>
    </row>
    <row r="92" ht="34" customHeight="1" spans="1:9" x14ac:dyDescent="0.25">
      <c r="A92" s="3" t="s">
        <v>581</v>
      </c>
      <c r="B92" s="4" t="s">
        <v>552</v>
      </c>
      <c r="C92" s="3" t="s">
        <v>76</v>
      </c>
      <c r="D92" s="4" t="s">
        <v>583</v>
      </c>
      <c r="E92" s="3" t="s">
        <v>6</v>
      </c>
      <c r="F92" s="3" t="s">
        <v>22</v>
      </c>
      <c r="G92" s="4" t="s">
        <v>23</v>
      </c>
      <c r="H92" s="4" t="s">
        <v>23</v>
      </c>
      <c r="I92" s="4" t="s">
        <v>23</v>
      </c>
    </row>
    <row r="93" ht="34" customHeight="1" spans="1:9" x14ac:dyDescent="0.25">
      <c r="A93" s="3" t="s">
        <v>586</v>
      </c>
      <c r="B93" s="4" t="s">
        <v>552</v>
      </c>
      <c r="C93" s="3" t="s">
        <v>111</v>
      </c>
      <c r="D93" s="4" t="s">
        <v>587</v>
      </c>
      <c r="E93" s="3" t="s">
        <v>6</v>
      </c>
      <c r="F93" s="3" t="s">
        <v>22</v>
      </c>
      <c r="G93" s="4" t="s">
        <v>23</v>
      </c>
      <c r="H93" s="4" t="s">
        <v>23</v>
      </c>
      <c r="I93" s="4" t="s">
        <v>23</v>
      </c>
    </row>
    <row r="94" ht="34" customHeight="1" spans="1:9" x14ac:dyDescent="0.25">
      <c r="A94" s="3" t="s">
        <v>24</v>
      </c>
      <c r="B94" s="4" t="s">
        <v>16</v>
      </c>
      <c r="C94" s="3" t="s">
        <v>18</v>
      </c>
      <c r="D94" s="4" t="s">
        <v>25</v>
      </c>
      <c r="E94" s="3" t="s">
        <v>7</v>
      </c>
      <c r="F94" s="3" t="s">
        <v>22</v>
      </c>
      <c r="G94" s="4" t="s">
        <v>23</v>
      </c>
      <c r="H94" s="4" t="s">
        <v>23</v>
      </c>
      <c r="I94" s="4" t="s">
        <v>23</v>
      </c>
    </row>
    <row r="95" ht="34" customHeight="1" spans="1:9" x14ac:dyDescent="0.25">
      <c r="A95" s="3" t="s">
        <v>26</v>
      </c>
      <c r="B95" s="4" t="s">
        <v>16</v>
      </c>
      <c r="C95" s="3" t="s">
        <v>18</v>
      </c>
      <c r="D95" s="4" t="s">
        <v>27</v>
      </c>
      <c r="E95" s="3" t="s">
        <v>7</v>
      </c>
      <c r="F95" s="3" t="s">
        <v>22</v>
      </c>
      <c r="G95" s="4" t="s">
        <v>23</v>
      </c>
      <c r="H95" s="4" t="s">
        <v>23</v>
      </c>
      <c r="I95" s="4" t="s">
        <v>23</v>
      </c>
    </row>
    <row r="96" ht="20" customHeight="1" spans="1:9" x14ac:dyDescent="0.25">
      <c r="A96" s="3" t="s">
        <v>37</v>
      </c>
      <c r="B96" s="4" t="s">
        <v>16</v>
      </c>
      <c r="C96" s="3" t="s">
        <v>32</v>
      </c>
      <c r="D96" s="4" t="s">
        <v>38</v>
      </c>
      <c r="E96" s="3" t="s">
        <v>7</v>
      </c>
      <c r="F96" s="3" t="s">
        <v>22</v>
      </c>
      <c r="G96" s="4" t="s">
        <v>23</v>
      </c>
      <c r="H96" s="4" t="s">
        <v>23</v>
      </c>
      <c r="I96" s="4" t="s">
        <v>23</v>
      </c>
    </row>
    <row r="97" ht="34" customHeight="1" spans="1:9" x14ac:dyDescent="0.25">
      <c r="A97" s="3" t="s">
        <v>39</v>
      </c>
      <c r="B97" s="4" t="s">
        <v>16</v>
      </c>
      <c r="C97" s="3" t="s">
        <v>32</v>
      </c>
      <c r="D97" s="4" t="s">
        <v>40</v>
      </c>
      <c r="E97" s="3" t="s">
        <v>7</v>
      </c>
      <c r="F97" s="3" t="s">
        <v>22</v>
      </c>
      <c r="G97" s="4" t="s">
        <v>23</v>
      </c>
      <c r="H97" s="4" t="s">
        <v>23</v>
      </c>
      <c r="I97" s="4" t="s">
        <v>23</v>
      </c>
    </row>
    <row r="98" ht="34" customHeight="1" spans="1:9" x14ac:dyDescent="0.25">
      <c r="A98" s="3" t="s">
        <v>41</v>
      </c>
      <c r="B98" s="4" t="s">
        <v>16</v>
      </c>
      <c r="C98" s="3" t="s">
        <v>32</v>
      </c>
      <c r="D98" s="4" t="s">
        <v>42</v>
      </c>
      <c r="E98" s="3" t="s">
        <v>7</v>
      </c>
      <c r="F98" s="3" t="s">
        <v>22</v>
      </c>
      <c r="G98" s="4" t="s">
        <v>23</v>
      </c>
      <c r="H98" s="4" t="s">
        <v>23</v>
      </c>
      <c r="I98" s="4" t="s">
        <v>23</v>
      </c>
    </row>
    <row r="99" ht="34" customHeight="1" spans="1:9" x14ac:dyDescent="0.25">
      <c r="A99" s="3" t="s">
        <v>50</v>
      </c>
      <c r="B99" s="4" t="s">
        <v>16</v>
      </c>
      <c r="C99" s="3" t="s">
        <v>51</v>
      </c>
      <c r="D99" s="4" t="s">
        <v>52</v>
      </c>
      <c r="E99" s="3" t="s">
        <v>7</v>
      </c>
      <c r="F99" s="3" t="s">
        <v>22</v>
      </c>
      <c r="G99" s="4" t="s">
        <v>23</v>
      </c>
      <c r="H99" s="4" t="s">
        <v>23</v>
      </c>
      <c r="I99" s="4" t="s">
        <v>23</v>
      </c>
    </row>
    <row r="100" ht="34" customHeight="1" spans="1:9" x14ac:dyDescent="0.25">
      <c r="A100" s="3" t="s">
        <v>53</v>
      </c>
      <c r="B100" s="4" t="s">
        <v>16</v>
      </c>
      <c r="C100" s="3" t="s">
        <v>18</v>
      </c>
      <c r="D100" s="4" t="s">
        <v>54</v>
      </c>
      <c r="E100" s="3" t="s">
        <v>7</v>
      </c>
      <c r="F100" s="3" t="s">
        <v>22</v>
      </c>
      <c r="G100" s="4" t="s">
        <v>23</v>
      </c>
      <c r="H100" s="4" t="s">
        <v>23</v>
      </c>
      <c r="I100" s="4" t="s">
        <v>23</v>
      </c>
    </row>
    <row r="101" ht="34" customHeight="1" spans="1:9" x14ac:dyDescent="0.25">
      <c r="A101" s="3" t="s">
        <v>55</v>
      </c>
      <c r="B101" s="4" t="s">
        <v>16</v>
      </c>
      <c r="C101" s="3" t="s">
        <v>18</v>
      </c>
      <c r="D101" s="4" t="s">
        <v>56</v>
      </c>
      <c r="E101" s="3" t="s">
        <v>7</v>
      </c>
      <c r="F101" s="3" t="s">
        <v>22</v>
      </c>
      <c r="G101" s="4" t="s">
        <v>23</v>
      </c>
      <c r="H101" s="4" t="s">
        <v>23</v>
      </c>
      <c r="I101" s="4" t="s">
        <v>23</v>
      </c>
    </row>
    <row r="102" ht="20" customHeight="1" spans="1:9" x14ac:dyDescent="0.25">
      <c r="A102" s="3" t="s">
        <v>67</v>
      </c>
      <c r="B102" s="4" t="s">
        <v>16</v>
      </c>
      <c r="C102" s="3" t="s">
        <v>18</v>
      </c>
      <c r="D102" s="4" t="s">
        <v>68</v>
      </c>
      <c r="E102" s="3" t="s">
        <v>7</v>
      </c>
      <c r="F102" s="3" t="s">
        <v>22</v>
      </c>
      <c r="G102" s="4" t="s">
        <v>23</v>
      </c>
      <c r="H102" s="4" t="s">
        <v>23</v>
      </c>
      <c r="I102" s="4" t="s">
        <v>23</v>
      </c>
    </row>
    <row r="103" ht="20" customHeight="1" spans="1:9" x14ac:dyDescent="0.25">
      <c r="A103" s="3" t="s">
        <v>71</v>
      </c>
      <c r="B103" s="4" t="s">
        <v>16</v>
      </c>
      <c r="C103" s="3" t="s">
        <v>18</v>
      </c>
      <c r="D103" s="4" t="s">
        <v>73</v>
      </c>
      <c r="E103" s="3" t="s">
        <v>7</v>
      </c>
      <c r="F103" s="3" t="s">
        <v>22</v>
      </c>
      <c r="G103" s="4" t="s">
        <v>23</v>
      </c>
      <c r="H103" s="4" t="s">
        <v>23</v>
      </c>
      <c r="I103" s="4" t="s">
        <v>23</v>
      </c>
    </row>
    <row r="104" ht="20" customHeight="1" spans="1:9" x14ac:dyDescent="0.25">
      <c r="A104" s="3" t="s">
        <v>78</v>
      </c>
      <c r="B104" s="4" t="s">
        <v>16</v>
      </c>
      <c r="C104" s="3" t="s">
        <v>79</v>
      </c>
      <c r="D104" s="4" t="s">
        <v>80</v>
      </c>
      <c r="E104" s="3" t="s">
        <v>7</v>
      </c>
      <c r="F104" s="3" t="s">
        <v>22</v>
      </c>
      <c r="G104" s="4" t="s">
        <v>23</v>
      </c>
      <c r="H104" s="4" t="s">
        <v>23</v>
      </c>
      <c r="I104" s="4" t="s">
        <v>23</v>
      </c>
    </row>
    <row r="105" ht="34" customHeight="1" spans="1:9" x14ac:dyDescent="0.25">
      <c r="A105" s="3" t="s">
        <v>87</v>
      </c>
      <c r="B105" s="4" t="s">
        <v>82</v>
      </c>
      <c r="C105" s="3" t="s">
        <v>18</v>
      </c>
      <c r="D105" s="4" t="s">
        <v>88</v>
      </c>
      <c r="E105" s="3" t="s">
        <v>7</v>
      </c>
      <c r="F105" s="3" t="s">
        <v>22</v>
      </c>
      <c r="G105" s="4" t="s">
        <v>23</v>
      </c>
      <c r="H105" s="4" t="s">
        <v>23</v>
      </c>
      <c r="I105" s="4" t="s">
        <v>23</v>
      </c>
    </row>
    <row r="106" ht="48" customHeight="1" spans="1:9" x14ac:dyDescent="0.25">
      <c r="A106" s="3" t="s">
        <v>94</v>
      </c>
      <c r="B106" s="4" t="s">
        <v>82</v>
      </c>
      <c r="C106" s="3" t="s">
        <v>76</v>
      </c>
      <c r="D106" s="4" t="s">
        <v>95</v>
      </c>
      <c r="E106" s="3" t="s">
        <v>7</v>
      </c>
      <c r="F106" s="3" t="s">
        <v>22</v>
      </c>
      <c r="G106" s="4" t="s">
        <v>23</v>
      </c>
      <c r="H106" s="4" t="s">
        <v>23</v>
      </c>
      <c r="I106" s="4" t="s">
        <v>23</v>
      </c>
    </row>
    <row r="107" ht="34" customHeight="1" spans="1:9" x14ac:dyDescent="0.25">
      <c r="A107" s="3" t="s">
        <v>96</v>
      </c>
      <c r="B107" s="4" t="s">
        <v>82</v>
      </c>
      <c r="C107" s="3" t="s">
        <v>76</v>
      </c>
      <c r="D107" s="4" t="s">
        <v>97</v>
      </c>
      <c r="E107" s="3" t="s">
        <v>7</v>
      </c>
      <c r="F107" s="3" t="s">
        <v>22</v>
      </c>
      <c r="G107" s="4" t="s">
        <v>23</v>
      </c>
      <c r="H107" s="4" t="s">
        <v>23</v>
      </c>
      <c r="I107" s="4" t="s">
        <v>23</v>
      </c>
    </row>
    <row r="108" ht="34" customHeight="1" spans="1:9" x14ac:dyDescent="0.25">
      <c r="A108" s="3" t="s">
        <v>98</v>
      </c>
      <c r="B108" s="4" t="s">
        <v>82</v>
      </c>
      <c r="C108" s="3" t="s">
        <v>76</v>
      </c>
      <c r="D108" s="4" t="s">
        <v>99</v>
      </c>
      <c r="E108" s="3" t="s">
        <v>7</v>
      </c>
      <c r="F108" s="3" t="s">
        <v>22</v>
      </c>
      <c r="G108" s="4" t="s">
        <v>23</v>
      </c>
      <c r="H108" s="4" t="s">
        <v>23</v>
      </c>
      <c r="I108" s="4" t="s">
        <v>23</v>
      </c>
    </row>
    <row r="109" ht="34" customHeight="1" spans="1:9" x14ac:dyDescent="0.25">
      <c r="A109" s="3" t="s">
        <v>110</v>
      </c>
      <c r="B109" s="4" t="s">
        <v>82</v>
      </c>
      <c r="C109" s="3" t="s">
        <v>111</v>
      </c>
      <c r="D109" s="4" t="s">
        <v>112</v>
      </c>
      <c r="E109" s="3" t="s">
        <v>7</v>
      </c>
      <c r="F109" s="3" t="s">
        <v>22</v>
      </c>
      <c r="G109" s="4" t="s">
        <v>23</v>
      </c>
      <c r="H109" s="4" t="s">
        <v>23</v>
      </c>
      <c r="I109" s="4" t="s">
        <v>23</v>
      </c>
    </row>
    <row r="110" ht="34" customHeight="1" spans="1:9" x14ac:dyDescent="0.25">
      <c r="A110" s="3" t="s">
        <v>113</v>
      </c>
      <c r="B110" s="4" t="s">
        <v>82</v>
      </c>
      <c r="C110" s="3" t="s">
        <v>111</v>
      </c>
      <c r="D110" s="4" t="s">
        <v>114</v>
      </c>
      <c r="E110" s="3" t="s">
        <v>7</v>
      </c>
      <c r="F110" s="3" t="s">
        <v>22</v>
      </c>
      <c r="G110" s="4" t="s">
        <v>23</v>
      </c>
      <c r="H110" s="4" t="s">
        <v>23</v>
      </c>
      <c r="I110" s="4" t="s">
        <v>23</v>
      </c>
    </row>
    <row r="111" ht="34" customHeight="1" spans="1:9" x14ac:dyDescent="0.25">
      <c r="A111" s="3" t="s">
        <v>115</v>
      </c>
      <c r="B111" s="4" t="s">
        <v>82</v>
      </c>
      <c r="C111" s="3" t="s">
        <v>76</v>
      </c>
      <c r="D111" s="4" t="s">
        <v>116</v>
      </c>
      <c r="E111" s="3" t="s">
        <v>7</v>
      </c>
      <c r="F111" s="3" t="s">
        <v>22</v>
      </c>
      <c r="G111" s="4" t="s">
        <v>23</v>
      </c>
      <c r="H111" s="4" t="s">
        <v>23</v>
      </c>
      <c r="I111" s="4" t="s">
        <v>23</v>
      </c>
    </row>
    <row r="112" ht="34" customHeight="1" spans="1:9" x14ac:dyDescent="0.25">
      <c r="A112" s="3" t="s">
        <v>121</v>
      </c>
      <c r="B112" s="4" t="s">
        <v>82</v>
      </c>
      <c r="C112" s="3" t="s">
        <v>62</v>
      </c>
      <c r="D112" s="4" t="s">
        <v>122</v>
      </c>
      <c r="E112" s="3" t="s">
        <v>7</v>
      </c>
      <c r="F112" s="3" t="s">
        <v>22</v>
      </c>
      <c r="G112" s="4" t="s">
        <v>23</v>
      </c>
      <c r="H112" s="4" t="s">
        <v>23</v>
      </c>
      <c r="I112" s="4" t="s">
        <v>23</v>
      </c>
    </row>
    <row r="113" ht="34" customHeight="1" spans="1:9" x14ac:dyDescent="0.25">
      <c r="A113" s="3" t="s">
        <v>125</v>
      </c>
      <c r="B113" s="4" t="s">
        <v>82</v>
      </c>
      <c r="C113" s="3" t="s">
        <v>76</v>
      </c>
      <c r="D113" s="4" t="s">
        <v>126</v>
      </c>
      <c r="E113" s="3" t="s">
        <v>7</v>
      </c>
      <c r="F113" s="3" t="s">
        <v>22</v>
      </c>
      <c r="G113" s="4" t="s">
        <v>23</v>
      </c>
      <c r="H113" s="4" t="s">
        <v>23</v>
      </c>
      <c r="I113" s="4" t="s">
        <v>23</v>
      </c>
    </row>
    <row r="114" ht="34" customHeight="1" spans="1:9" x14ac:dyDescent="0.25">
      <c r="A114" s="3" t="s">
        <v>127</v>
      </c>
      <c r="B114" s="4" t="s">
        <v>82</v>
      </c>
      <c r="C114" s="3" t="s">
        <v>76</v>
      </c>
      <c r="D114" s="4" t="s">
        <v>128</v>
      </c>
      <c r="E114" s="3" t="s">
        <v>7</v>
      </c>
      <c r="F114" s="3" t="s">
        <v>22</v>
      </c>
      <c r="G114" s="4" t="s">
        <v>23</v>
      </c>
      <c r="H114" s="4" t="s">
        <v>23</v>
      </c>
      <c r="I114" s="4" t="s">
        <v>23</v>
      </c>
    </row>
    <row r="115" ht="34" customHeight="1" spans="1:9" x14ac:dyDescent="0.25">
      <c r="A115" s="3" t="s">
        <v>129</v>
      </c>
      <c r="B115" s="4" t="s">
        <v>82</v>
      </c>
      <c r="C115" s="3" t="s">
        <v>18</v>
      </c>
      <c r="D115" s="4" t="s">
        <v>130</v>
      </c>
      <c r="E115" s="3" t="s">
        <v>7</v>
      </c>
      <c r="F115" s="3" t="s">
        <v>22</v>
      </c>
      <c r="G115" s="4" t="s">
        <v>23</v>
      </c>
      <c r="H115" s="4" t="s">
        <v>23</v>
      </c>
      <c r="I115" s="4" t="s">
        <v>23</v>
      </c>
    </row>
    <row r="116" ht="34" customHeight="1" spans="1:9" x14ac:dyDescent="0.25">
      <c r="A116" s="3" t="s">
        <v>133</v>
      </c>
      <c r="B116" s="4" t="s">
        <v>82</v>
      </c>
      <c r="C116" s="3" t="s">
        <v>76</v>
      </c>
      <c r="D116" s="4" t="s">
        <v>135</v>
      </c>
      <c r="E116" s="3" t="s">
        <v>7</v>
      </c>
      <c r="F116" s="3" t="s">
        <v>22</v>
      </c>
      <c r="G116" s="4" t="s">
        <v>23</v>
      </c>
      <c r="H116" s="4" t="s">
        <v>23</v>
      </c>
      <c r="I116" s="4" t="s">
        <v>23</v>
      </c>
    </row>
    <row r="117" ht="34" customHeight="1" spans="1:9" x14ac:dyDescent="0.25">
      <c r="A117" s="3" t="s">
        <v>137</v>
      </c>
      <c r="B117" s="4" t="s">
        <v>82</v>
      </c>
      <c r="C117" s="3" t="s">
        <v>79</v>
      </c>
      <c r="D117" s="4" t="s">
        <v>138</v>
      </c>
      <c r="E117" s="3" t="s">
        <v>7</v>
      </c>
      <c r="F117" s="3" t="s">
        <v>22</v>
      </c>
      <c r="G117" s="4" t="s">
        <v>23</v>
      </c>
      <c r="H117" s="4" t="s">
        <v>23</v>
      </c>
      <c r="I117" s="4" t="s">
        <v>23</v>
      </c>
    </row>
    <row r="118" ht="34" customHeight="1" spans="1:9" x14ac:dyDescent="0.25">
      <c r="A118" s="3" t="s">
        <v>147</v>
      </c>
      <c r="B118" s="4" t="s">
        <v>82</v>
      </c>
      <c r="C118" s="3" t="s">
        <v>79</v>
      </c>
      <c r="D118" s="4" t="s">
        <v>148</v>
      </c>
      <c r="E118" s="3" t="s">
        <v>7</v>
      </c>
      <c r="F118" s="3" t="s">
        <v>22</v>
      </c>
      <c r="G118" s="4" t="s">
        <v>23</v>
      </c>
      <c r="H118" s="4" t="s">
        <v>23</v>
      </c>
      <c r="I118" s="4" t="s">
        <v>23</v>
      </c>
    </row>
    <row r="119" ht="34" customHeight="1" spans="1:9" x14ac:dyDescent="0.25">
      <c r="A119" s="3" t="s">
        <v>157</v>
      </c>
      <c r="B119" s="4" t="s">
        <v>150</v>
      </c>
      <c r="C119" s="3" t="s">
        <v>76</v>
      </c>
      <c r="D119" s="4" t="s">
        <v>158</v>
      </c>
      <c r="E119" s="3" t="s">
        <v>7</v>
      </c>
      <c r="F119" s="3" t="s">
        <v>22</v>
      </c>
      <c r="G119" s="4" t="s">
        <v>23</v>
      </c>
      <c r="H119" s="4" t="s">
        <v>23</v>
      </c>
      <c r="I119" s="4" t="s">
        <v>23</v>
      </c>
    </row>
    <row r="120" ht="34" customHeight="1" spans="1:9" x14ac:dyDescent="0.25">
      <c r="A120" s="3" t="s">
        <v>162</v>
      </c>
      <c r="B120" s="4" t="s">
        <v>150</v>
      </c>
      <c r="C120" s="3" t="s">
        <v>62</v>
      </c>
      <c r="D120" s="4" t="s">
        <v>163</v>
      </c>
      <c r="E120" s="3" t="s">
        <v>7</v>
      </c>
      <c r="F120" s="3" t="s">
        <v>22</v>
      </c>
      <c r="G120" s="4" t="s">
        <v>23</v>
      </c>
      <c r="H120" s="4" t="s">
        <v>23</v>
      </c>
      <c r="I120" s="4" t="s">
        <v>23</v>
      </c>
    </row>
    <row r="121" ht="34" customHeight="1" spans="1:9" x14ac:dyDescent="0.25">
      <c r="A121" s="3" t="s">
        <v>164</v>
      </c>
      <c r="B121" s="4" t="s">
        <v>150</v>
      </c>
      <c r="C121" s="3" t="s">
        <v>62</v>
      </c>
      <c r="D121" s="4" t="s">
        <v>165</v>
      </c>
      <c r="E121" s="3" t="s">
        <v>7</v>
      </c>
      <c r="F121" s="3" t="s">
        <v>22</v>
      </c>
      <c r="G121" s="4" t="s">
        <v>23</v>
      </c>
      <c r="H121" s="4" t="s">
        <v>23</v>
      </c>
      <c r="I121" s="4" t="s">
        <v>23</v>
      </c>
    </row>
    <row r="122" ht="34" customHeight="1" spans="1:9" x14ac:dyDescent="0.25">
      <c r="A122" s="3" t="s">
        <v>170</v>
      </c>
      <c r="B122" s="4" t="s">
        <v>150</v>
      </c>
      <c r="C122" s="3" t="s">
        <v>62</v>
      </c>
      <c r="D122" s="4" t="s">
        <v>172</v>
      </c>
      <c r="E122" s="3" t="s">
        <v>7</v>
      </c>
      <c r="F122" s="3" t="s">
        <v>22</v>
      </c>
      <c r="G122" s="4" t="s">
        <v>23</v>
      </c>
      <c r="H122" s="4" t="s">
        <v>23</v>
      </c>
      <c r="I122" s="4" t="s">
        <v>23</v>
      </c>
    </row>
    <row r="123" ht="20" customHeight="1" spans="1:9" x14ac:dyDescent="0.25">
      <c r="A123" s="3" t="s">
        <v>173</v>
      </c>
      <c r="B123" s="4" t="s">
        <v>150</v>
      </c>
      <c r="C123" s="3" t="s">
        <v>62</v>
      </c>
      <c r="D123" s="4" t="s">
        <v>174</v>
      </c>
      <c r="E123" s="3" t="s">
        <v>7</v>
      </c>
      <c r="F123" s="3" t="s">
        <v>22</v>
      </c>
      <c r="G123" s="4" t="s">
        <v>23</v>
      </c>
      <c r="H123" s="4" t="s">
        <v>23</v>
      </c>
      <c r="I123" s="4" t="s">
        <v>23</v>
      </c>
    </row>
    <row r="124" ht="20" customHeight="1" spans="1:9" x14ac:dyDescent="0.25">
      <c r="A124" s="3" t="s">
        <v>182</v>
      </c>
      <c r="B124" s="4" t="s">
        <v>150</v>
      </c>
      <c r="C124" s="3" t="s">
        <v>62</v>
      </c>
      <c r="D124" s="4" t="s">
        <v>183</v>
      </c>
      <c r="E124" s="3" t="s">
        <v>7</v>
      </c>
      <c r="F124" s="3" t="s">
        <v>22</v>
      </c>
      <c r="G124" s="4" t="s">
        <v>23</v>
      </c>
      <c r="H124" s="4" t="s">
        <v>23</v>
      </c>
      <c r="I124" s="4" t="s">
        <v>23</v>
      </c>
    </row>
    <row r="125" ht="20" customHeight="1" spans="1:9" x14ac:dyDescent="0.25">
      <c r="A125" s="3" t="s">
        <v>184</v>
      </c>
      <c r="B125" s="4" t="s">
        <v>150</v>
      </c>
      <c r="C125" s="3" t="s">
        <v>62</v>
      </c>
      <c r="D125" s="4" t="s">
        <v>185</v>
      </c>
      <c r="E125" s="3" t="s">
        <v>7</v>
      </c>
      <c r="F125" s="3" t="s">
        <v>22</v>
      </c>
      <c r="G125" s="4" t="s">
        <v>23</v>
      </c>
      <c r="H125" s="4" t="s">
        <v>23</v>
      </c>
      <c r="I125" s="4" t="s">
        <v>23</v>
      </c>
    </row>
    <row r="126" ht="34" customHeight="1" spans="1:9" x14ac:dyDescent="0.25">
      <c r="A126" s="3" t="s">
        <v>186</v>
      </c>
      <c r="B126" s="4" t="s">
        <v>150</v>
      </c>
      <c r="C126" s="3" t="s">
        <v>76</v>
      </c>
      <c r="D126" s="4" t="s">
        <v>187</v>
      </c>
      <c r="E126" s="3" t="s">
        <v>7</v>
      </c>
      <c r="F126" s="3" t="s">
        <v>22</v>
      </c>
      <c r="G126" s="4" t="s">
        <v>23</v>
      </c>
      <c r="H126" s="4" t="s">
        <v>23</v>
      </c>
      <c r="I126" s="4" t="s">
        <v>23</v>
      </c>
    </row>
    <row r="127" ht="34" customHeight="1" spans="1:9" x14ac:dyDescent="0.25">
      <c r="A127" s="3" t="s">
        <v>188</v>
      </c>
      <c r="B127" s="4" t="s">
        <v>150</v>
      </c>
      <c r="C127" s="3" t="s">
        <v>18</v>
      </c>
      <c r="D127" s="4" t="s">
        <v>190</v>
      </c>
      <c r="E127" s="3" t="s">
        <v>7</v>
      </c>
      <c r="F127" s="3" t="s">
        <v>22</v>
      </c>
      <c r="G127" s="4" t="s">
        <v>23</v>
      </c>
      <c r="H127" s="4" t="s">
        <v>23</v>
      </c>
      <c r="I127" s="4" t="s">
        <v>23</v>
      </c>
    </row>
    <row r="128" ht="34" customHeight="1" spans="1:9" x14ac:dyDescent="0.25">
      <c r="A128" s="3" t="s">
        <v>193</v>
      </c>
      <c r="B128" s="4" t="s">
        <v>150</v>
      </c>
      <c r="C128" s="3" t="s">
        <v>111</v>
      </c>
      <c r="D128" s="4" t="s">
        <v>195</v>
      </c>
      <c r="E128" s="3" t="s">
        <v>7</v>
      </c>
      <c r="F128" s="3" t="s">
        <v>22</v>
      </c>
      <c r="G128" s="4" t="s">
        <v>23</v>
      </c>
      <c r="H128" s="4" t="s">
        <v>23</v>
      </c>
      <c r="I128" s="4" t="s">
        <v>23</v>
      </c>
    </row>
    <row r="129" ht="48" customHeight="1" spans="1:9" x14ac:dyDescent="0.25">
      <c r="A129" s="3" t="s">
        <v>196</v>
      </c>
      <c r="B129" s="4" t="s">
        <v>150</v>
      </c>
      <c r="C129" s="3" t="s">
        <v>76</v>
      </c>
      <c r="D129" s="4" t="s">
        <v>197</v>
      </c>
      <c r="E129" s="3" t="s">
        <v>7</v>
      </c>
      <c r="F129" s="3" t="s">
        <v>22</v>
      </c>
      <c r="G129" s="4" t="s">
        <v>23</v>
      </c>
      <c r="H129" s="4" t="s">
        <v>23</v>
      </c>
      <c r="I129" s="4" t="s">
        <v>23</v>
      </c>
    </row>
    <row r="130" ht="34" customHeight="1" spans="1:9" x14ac:dyDescent="0.25">
      <c r="A130" s="3" t="s">
        <v>201</v>
      </c>
      <c r="B130" s="4" t="s">
        <v>150</v>
      </c>
      <c r="C130" s="3" t="s">
        <v>111</v>
      </c>
      <c r="D130" s="4" t="s">
        <v>202</v>
      </c>
      <c r="E130" s="3" t="s">
        <v>7</v>
      </c>
      <c r="F130" s="3" t="s">
        <v>22</v>
      </c>
      <c r="G130" s="4" t="s">
        <v>23</v>
      </c>
      <c r="H130" s="4" t="s">
        <v>23</v>
      </c>
      <c r="I130" s="4" t="s">
        <v>23</v>
      </c>
    </row>
    <row r="131" ht="20" customHeight="1" spans="1:9" x14ac:dyDescent="0.25">
      <c r="A131" s="3" t="s">
        <v>203</v>
      </c>
      <c r="B131" s="4" t="s">
        <v>150</v>
      </c>
      <c r="C131" s="3" t="s">
        <v>65</v>
      </c>
      <c r="D131" s="4" t="s">
        <v>205</v>
      </c>
      <c r="E131" s="3" t="s">
        <v>7</v>
      </c>
      <c r="F131" s="3" t="s">
        <v>22</v>
      </c>
      <c r="G131" s="4" t="s">
        <v>23</v>
      </c>
      <c r="H131" s="4" t="s">
        <v>23</v>
      </c>
      <c r="I131" s="4" t="s">
        <v>23</v>
      </c>
    </row>
    <row r="132" ht="20" customHeight="1" spans="1:9" x14ac:dyDescent="0.25">
      <c r="A132" s="3" t="s">
        <v>206</v>
      </c>
      <c r="B132" s="4" t="s">
        <v>150</v>
      </c>
      <c r="C132" s="3" t="s">
        <v>65</v>
      </c>
      <c r="D132" s="4" t="s">
        <v>207</v>
      </c>
      <c r="E132" s="3" t="s">
        <v>7</v>
      </c>
      <c r="F132" s="3" t="s">
        <v>22</v>
      </c>
      <c r="G132" s="4" t="s">
        <v>23</v>
      </c>
      <c r="H132" s="4" t="s">
        <v>23</v>
      </c>
      <c r="I132" s="4" t="s">
        <v>23</v>
      </c>
    </row>
    <row r="133" ht="34" customHeight="1" spans="1:9" x14ac:dyDescent="0.25">
      <c r="A133" s="3" t="s">
        <v>208</v>
      </c>
      <c r="B133" s="4" t="s">
        <v>150</v>
      </c>
      <c r="C133" s="3" t="s">
        <v>62</v>
      </c>
      <c r="D133" s="4" t="s">
        <v>209</v>
      </c>
      <c r="E133" s="3" t="s">
        <v>7</v>
      </c>
      <c r="F133" s="3" t="s">
        <v>22</v>
      </c>
      <c r="G133" s="4" t="s">
        <v>23</v>
      </c>
      <c r="H133" s="4" t="s">
        <v>23</v>
      </c>
      <c r="I133" s="4" t="s">
        <v>23</v>
      </c>
    </row>
    <row r="134" ht="48" customHeight="1" spans="1:9" x14ac:dyDescent="0.25">
      <c r="A134" s="3" t="s">
        <v>210</v>
      </c>
      <c r="B134" s="4" t="s">
        <v>150</v>
      </c>
      <c r="C134" s="3" t="s">
        <v>62</v>
      </c>
      <c r="D134" s="4" t="s">
        <v>211</v>
      </c>
      <c r="E134" s="3" t="s">
        <v>7</v>
      </c>
      <c r="F134" s="3" t="s">
        <v>22</v>
      </c>
      <c r="G134" s="4" t="s">
        <v>23</v>
      </c>
      <c r="H134" s="4" t="s">
        <v>23</v>
      </c>
      <c r="I134" s="4" t="s">
        <v>23</v>
      </c>
    </row>
    <row r="135" ht="34" customHeight="1" spans="1:9" x14ac:dyDescent="0.25">
      <c r="A135" s="3" t="s">
        <v>218</v>
      </c>
      <c r="B135" s="4" t="s">
        <v>213</v>
      </c>
      <c r="C135" s="3" t="s">
        <v>65</v>
      </c>
      <c r="D135" s="4" t="s">
        <v>219</v>
      </c>
      <c r="E135" s="3" t="s">
        <v>7</v>
      </c>
      <c r="F135" s="3" t="s">
        <v>22</v>
      </c>
      <c r="G135" s="4" t="s">
        <v>23</v>
      </c>
      <c r="H135" s="4" t="s">
        <v>23</v>
      </c>
      <c r="I135" s="4" t="s">
        <v>23</v>
      </c>
    </row>
    <row r="136" ht="34" customHeight="1" spans="1:9" x14ac:dyDescent="0.25">
      <c r="A136" s="3" t="s">
        <v>220</v>
      </c>
      <c r="B136" s="4" t="s">
        <v>213</v>
      </c>
      <c r="C136" s="3" t="s">
        <v>65</v>
      </c>
      <c r="D136" s="4" t="s">
        <v>221</v>
      </c>
      <c r="E136" s="3" t="s">
        <v>7</v>
      </c>
      <c r="F136" s="3" t="s">
        <v>22</v>
      </c>
      <c r="G136" s="4" t="s">
        <v>23</v>
      </c>
      <c r="H136" s="4" t="s">
        <v>23</v>
      </c>
      <c r="I136" s="4" t="s">
        <v>23</v>
      </c>
    </row>
    <row r="137" ht="34" customHeight="1" spans="1:9" x14ac:dyDescent="0.25">
      <c r="A137" s="3" t="s">
        <v>222</v>
      </c>
      <c r="B137" s="4" t="s">
        <v>213</v>
      </c>
      <c r="C137" s="3" t="s">
        <v>65</v>
      </c>
      <c r="D137" s="4" t="s">
        <v>223</v>
      </c>
      <c r="E137" s="3" t="s">
        <v>7</v>
      </c>
      <c r="F137" s="3" t="s">
        <v>22</v>
      </c>
      <c r="G137" s="4" t="s">
        <v>23</v>
      </c>
      <c r="H137" s="4" t="s">
        <v>23</v>
      </c>
      <c r="I137" s="4" t="s">
        <v>23</v>
      </c>
    </row>
    <row r="138" ht="34" customHeight="1" spans="1:9" x14ac:dyDescent="0.25">
      <c r="A138" s="3" t="s">
        <v>224</v>
      </c>
      <c r="B138" s="4" t="s">
        <v>213</v>
      </c>
      <c r="C138" s="3" t="s">
        <v>65</v>
      </c>
      <c r="D138" s="4" t="s">
        <v>225</v>
      </c>
      <c r="E138" s="3" t="s">
        <v>7</v>
      </c>
      <c r="F138" s="3" t="s">
        <v>22</v>
      </c>
      <c r="G138" s="4" t="s">
        <v>23</v>
      </c>
      <c r="H138" s="4" t="s">
        <v>23</v>
      </c>
      <c r="I138" s="4" t="s">
        <v>23</v>
      </c>
    </row>
    <row r="139" ht="34" customHeight="1" spans="1:9" x14ac:dyDescent="0.25">
      <c r="A139" s="3" t="s">
        <v>226</v>
      </c>
      <c r="B139" s="4" t="s">
        <v>213</v>
      </c>
      <c r="C139" s="3" t="s">
        <v>62</v>
      </c>
      <c r="D139" s="4" t="s">
        <v>227</v>
      </c>
      <c r="E139" s="3" t="s">
        <v>7</v>
      </c>
      <c r="F139" s="3" t="s">
        <v>22</v>
      </c>
      <c r="G139" s="4" t="s">
        <v>23</v>
      </c>
      <c r="H139" s="4" t="s">
        <v>23</v>
      </c>
      <c r="I139" s="4" t="s">
        <v>23</v>
      </c>
    </row>
    <row r="140" ht="34" customHeight="1" spans="1:9" x14ac:dyDescent="0.25">
      <c r="A140" s="3" t="s">
        <v>236</v>
      </c>
      <c r="B140" s="4" t="s">
        <v>213</v>
      </c>
      <c r="C140" s="3" t="s">
        <v>232</v>
      </c>
      <c r="D140" s="4" t="s">
        <v>237</v>
      </c>
      <c r="E140" s="3" t="s">
        <v>7</v>
      </c>
      <c r="F140" s="3" t="s">
        <v>22</v>
      </c>
      <c r="G140" s="4" t="s">
        <v>23</v>
      </c>
      <c r="H140" s="4" t="s">
        <v>23</v>
      </c>
      <c r="I140" s="4" t="s">
        <v>23</v>
      </c>
    </row>
    <row r="141" ht="34" customHeight="1" spans="1:9" x14ac:dyDescent="0.25">
      <c r="A141" s="3" t="s">
        <v>243</v>
      </c>
      <c r="B141" s="4" t="s">
        <v>213</v>
      </c>
      <c r="C141" s="3" t="s">
        <v>65</v>
      </c>
      <c r="D141" s="4" t="s">
        <v>244</v>
      </c>
      <c r="E141" s="3" t="s">
        <v>7</v>
      </c>
      <c r="F141" s="3" t="s">
        <v>22</v>
      </c>
      <c r="G141" s="4" t="s">
        <v>23</v>
      </c>
      <c r="H141" s="4" t="s">
        <v>23</v>
      </c>
      <c r="I141" s="4" t="s">
        <v>23</v>
      </c>
    </row>
    <row r="142" ht="34" customHeight="1" spans="1:9" x14ac:dyDescent="0.25">
      <c r="A142" s="3" t="s">
        <v>245</v>
      </c>
      <c r="B142" s="4" t="s">
        <v>213</v>
      </c>
      <c r="C142" s="3" t="s">
        <v>18</v>
      </c>
      <c r="D142" s="4" t="s">
        <v>246</v>
      </c>
      <c r="E142" s="3" t="s">
        <v>7</v>
      </c>
      <c r="F142" s="3" t="s">
        <v>22</v>
      </c>
      <c r="G142" s="4" t="s">
        <v>23</v>
      </c>
      <c r="H142" s="4" t="s">
        <v>23</v>
      </c>
      <c r="I142" s="4" t="s">
        <v>23</v>
      </c>
    </row>
    <row r="143" ht="34" customHeight="1" spans="1:9" x14ac:dyDescent="0.25">
      <c r="A143" s="3" t="s">
        <v>253</v>
      </c>
      <c r="B143" s="4" t="s">
        <v>213</v>
      </c>
      <c r="C143" s="3" t="s">
        <v>65</v>
      </c>
      <c r="D143" s="4" t="s">
        <v>254</v>
      </c>
      <c r="E143" s="3" t="s">
        <v>7</v>
      </c>
      <c r="F143" s="3" t="s">
        <v>22</v>
      </c>
      <c r="G143" s="4" t="s">
        <v>23</v>
      </c>
      <c r="H143" s="4" t="s">
        <v>23</v>
      </c>
      <c r="I143" s="4" t="s">
        <v>23</v>
      </c>
    </row>
    <row r="144" ht="34" customHeight="1" spans="1:9" x14ac:dyDescent="0.25">
      <c r="A144" s="3" t="s">
        <v>255</v>
      </c>
      <c r="B144" s="4" t="s">
        <v>213</v>
      </c>
      <c r="C144" s="3" t="s">
        <v>111</v>
      </c>
      <c r="D144" s="4" t="s">
        <v>256</v>
      </c>
      <c r="E144" s="3" t="s">
        <v>7</v>
      </c>
      <c r="F144" s="3" t="s">
        <v>22</v>
      </c>
      <c r="G144" s="4" t="s">
        <v>23</v>
      </c>
      <c r="H144" s="4" t="s">
        <v>23</v>
      </c>
      <c r="I144" s="4" t="s">
        <v>23</v>
      </c>
    </row>
    <row r="145" ht="34" customHeight="1" spans="1:9" x14ac:dyDescent="0.25">
      <c r="A145" s="3" t="s">
        <v>257</v>
      </c>
      <c r="B145" s="4" t="s">
        <v>213</v>
      </c>
      <c r="C145" s="3" t="s">
        <v>65</v>
      </c>
      <c r="D145" s="4" t="s">
        <v>259</v>
      </c>
      <c r="E145" s="3" t="s">
        <v>7</v>
      </c>
      <c r="F145" s="3" t="s">
        <v>22</v>
      </c>
      <c r="G145" s="4" t="s">
        <v>23</v>
      </c>
      <c r="H145" s="4" t="s">
        <v>23</v>
      </c>
      <c r="I145" s="4" t="s">
        <v>23</v>
      </c>
    </row>
    <row r="146" ht="34" customHeight="1" spans="1:9" x14ac:dyDescent="0.25">
      <c r="A146" s="3" t="s">
        <v>261</v>
      </c>
      <c r="B146" s="4" t="s">
        <v>213</v>
      </c>
      <c r="C146" s="3" t="s">
        <v>51</v>
      </c>
      <c r="D146" s="4" t="s">
        <v>262</v>
      </c>
      <c r="E146" s="3" t="s">
        <v>7</v>
      </c>
      <c r="F146" s="3" t="s">
        <v>22</v>
      </c>
      <c r="G146" s="4" t="s">
        <v>23</v>
      </c>
      <c r="H146" s="4" t="s">
        <v>23</v>
      </c>
      <c r="I146" s="4" t="s">
        <v>23</v>
      </c>
    </row>
    <row r="147" ht="34" customHeight="1" spans="1:9" x14ac:dyDescent="0.25">
      <c r="A147" s="3" t="s">
        <v>263</v>
      </c>
      <c r="B147" s="4" t="s">
        <v>213</v>
      </c>
      <c r="C147" s="3" t="s">
        <v>232</v>
      </c>
      <c r="D147" s="4" t="s">
        <v>264</v>
      </c>
      <c r="E147" s="3" t="s">
        <v>7</v>
      </c>
      <c r="F147" s="3" t="s">
        <v>22</v>
      </c>
      <c r="G147" s="4" t="s">
        <v>23</v>
      </c>
      <c r="H147" s="4" t="s">
        <v>23</v>
      </c>
      <c r="I147" s="4" t="s">
        <v>23</v>
      </c>
    </row>
    <row r="148" ht="34" customHeight="1" spans="1:9" x14ac:dyDescent="0.25">
      <c r="A148" s="3" t="s">
        <v>269</v>
      </c>
      <c r="B148" s="4" t="s">
        <v>213</v>
      </c>
      <c r="C148" s="3" t="s">
        <v>62</v>
      </c>
      <c r="D148" s="4" t="s">
        <v>270</v>
      </c>
      <c r="E148" s="3" t="s">
        <v>7</v>
      </c>
      <c r="F148" s="3" t="s">
        <v>22</v>
      </c>
      <c r="G148" s="4" t="s">
        <v>23</v>
      </c>
      <c r="H148" s="4" t="s">
        <v>23</v>
      </c>
      <c r="I148" s="4" t="s">
        <v>23</v>
      </c>
    </row>
    <row r="149" ht="34" customHeight="1" spans="1:9" x14ac:dyDescent="0.25">
      <c r="A149" s="3" t="s">
        <v>271</v>
      </c>
      <c r="B149" s="4" t="s">
        <v>213</v>
      </c>
      <c r="C149" s="3" t="s">
        <v>18</v>
      </c>
      <c r="D149" s="4" t="s">
        <v>273</v>
      </c>
      <c r="E149" s="3" t="s">
        <v>7</v>
      </c>
      <c r="F149" s="3" t="s">
        <v>22</v>
      </c>
      <c r="G149" s="4" t="s">
        <v>23</v>
      </c>
      <c r="H149" s="4" t="s">
        <v>23</v>
      </c>
      <c r="I149" s="4" t="s">
        <v>23</v>
      </c>
    </row>
    <row r="150" ht="34" customHeight="1" spans="1:9" x14ac:dyDescent="0.25">
      <c r="A150" s="3" t="s">
        <v>274</v>
      </c>
      <c r="B150" s="4" t="s">
        <v>213</v>
      </c>
      <c r="C150" s="3" t="s">
        <v>65</v>
      </c>
      <c r="D150" s="4" t="s">
        <v>275</v>
      </c>
      <c r="E150" s="3" t="s">
        <v>7</v>
      </c>
      <c r="F150" s="3" t="s">
        <v>22</v>
      </c>
      <c r="G150" s="4" t="s">
        <v>23</v>
      </c>
      <c r="H150" s="4" t="s">
        <v>23</v>
      </c>
      <c r="I150" s="4" t="s">
        <v>23</v>
      </c>
    </row>
    <row r="151" ht="34" customHeight="1" spans="1:9" x14ac:dyDescent="0.25">
      <c r="A151" s="3" t="s">
        <v>285</v>
      </c>
      <c r="B151" s="4" t="s">
        <v>213</v>
      </c>
      <c r="C151" s="3" t="s">
        <v>65</v>
      </c>
      <c r="D151" s="4" t="s">
        <v>286</v>
      </c>
      <c r="E151" s="3" t="s">
        <v>7</v>
      </c>
      <c r="F151" s="3" t="s">
        <v>22</v>
      </c>
      <c r="G151" s="4" t="s">
        <v>23</v>
      </c>
      <c r="H151" s="4" t="s">
        <v>23</v>
      </c>
      <c r="I151" s="4" t="s">
        <v>23</v>
      </c>
    </row>
    <row r="152" ht="34" customHeight="1" spans="1:9" x14ac:dyDescent="0.25">
      <c r="A152" s="3" t="s">
        <v>287</v>
      </c>
      <c r="B152" s="4" t="s">
        <v>213</v>
      </c>
      <c r="C152" s="3" t="s">
        <v>65</v>
      </c>
      <c r="D152" s="4" t="s">
        <v>288</v>
      </c>
      <c r="E152" s="3" t="s">
        <v>7</v>
      </c>
      <c r="F152" s="3" t="s">
        <v>22</v>
      </c>
      <c r="G152" s="4" t="s">
        <v>23</v>
      </c>
      <c r="H152" s="4" t="s">
        <v>23</v>
      </c>
      <c r="I152" s="4" t="s">
        <v>23</v>
      </c>
    </row>
    <row r="153" ht="20" customHeight="1" spans="1:9" x14ac:dyDescent="0.25">
      <c r="A153" s="3" t="s">
        <v>296</v>
      </c>
      <c r="B153" s="4" t="s">
        <v>290</v>
      </c>
      <c r="C153" s="3" t="s">
        <v>232</v>
      </c>
      <c r="D153" s="4" t="s">
        <v>297</v>
      </c>
      <c r="E153" s="3" t="s">
        <v>7</v>
      </c>
      <c r="F153" s="3" t="s">
        <v>22</v>
      </c>
      <c r="G153" s="4" t="s">
        <v>23</v>
      </c>
      <c r="H153" s="4" t="s">
        <v>23</v>
      </c>
      <c r="I153" s="4" t="s">
        <v>23</v>
      </c>
    </row>
    <row r="154" ht="48" customHeight="1" spans="1:9" x14ac:dyDescent="0.25">
      <c r="A154" s="3" t="s">
        <v>298</v>
      </c>
      <c r="B154" s="4" t="s">
        <v>290</v>
      </c>
      <c r="C154" s="3" t="s">
        <v>232</v>
      </c>
      <c r="D154" s="4" t="s">
        <v>299</v>
      </c>
      <c r="E154" s="3" t="s">
        <v>7</v>
      </c>
      <c r="F154" s="3" t="s">
        <v>22</v>
      </c>
      <c r="G154" s="4" t="s">
        <v>23</v>
      </c>
      <c r="H154" s="4" t="s">
        <v>23</v>
      </c>
      <c r="I154" s="4" t="s">
        <v>23</v>
      </c>
    </row>
    <row r="155" ht="34" customHeight="1" spans="1:9" x14ac:dyDescent="0.25">
      <c r="A155" s="3" t="s">
        <v>306</v>
      </c>
      <c r="B155" s="4" t="s">
        <v>290</v>
      </c>
      <c r="C155" s="3" t="s">
        <v>62</v>
      </c>
      <c r="D155" s="4" t="s">
        <v>307</v>
      </c>
      <c r="E155" s="3" t="s">
        <v>7</v>
      </c>
      <c r="F155" s="3" t="s">
        <v>22</v>
      </c>
      <c r="G155" s="4" t="s">
        <v>23</v>
      </c>
      <c r="H155" s="4" t="s">
        <v>23</v>
      </c>
      <c r="I155" s="4" t="s">
        <v>23</v>
      </c>
    </row>
    <row r="156" ht="20" customHeight="1" spans="1:9" x14ac:dyDescent="0.25">
      <c r="A156" s="3" t="s">
        <v>308</v>
      </c>
      <c r="B156" s="4" t="s">
        <v>290</v>
      </c>
      <c r="C156" s="3" t="s">
        <v>232</v>
      </c>
      <c r="D156" s="4" t="s">
        <v>309</v>
      </c>
      <c r="E156" s="3" t="s">
        <v>7</v>
      </c>
      <c r="F156" s="3" t="s">
        <v>22</v>
      </c>
      <c r="G156" s="4" t="s">
        <v>23</v>
      </c>
      <c r="H156" s="4" t="s">
        <v>23</v>
      </c>
      <c r="I156" s="4" t="s">
        <v>23</v>
      </c>
    </row>
    <row r="157" ht="20" customHeight="1" spans="1:9" x14ac:dyDescent="0.25">
      <c r="A157" s="3" t="s">
        <v>316</v>
      </c>
      <c r="B157" s="4" t="s">
        <v>290</v>
      </c>
      <c r="C157" s="3" t="s">
        <v>65</v>
      </c>
      <c r="D157" s="4" t="s">
        <v>317</v>
      </c>
      <c r="E157" s="3" t="s">
        <v>7</v>
      </c>
      <c r="F157" s="3" t="s">
        <v>22</v>
      </c>
      <c r="G157" s="4" t="s">
        <v>23</v>
      </c>
      <c r="H157" s="4" t="s">
        <v>23</v>
      </c>
      <c r="I157" s="4" t="s">
        <v>23</v>
      </c>
    </row>
    <row r="158" ht="20" customHeight="1" spans="1:9" x14ac:dyDescent="0.25">
      <c r="A158" s="3" t="s">
        <v>318</v>
      </c>
      <c r="B158" s="4" t="s">
        <v>290</v>
      </c>
      <c r="C158" s="3" t="s">
        <v>232</v>
      </c>
      <c r="D158" s="4" t="s">
        <v>319</v>
      </c>
      <c r="E158" s="3" t="s">
        <v>7</v>
      </c>
      <c r="F158" s="3" t="s">
        <v>22</v>
      </c>
      <c r="G158" s="4" t="s">
        <v>23</v>
      </c>
      <c r="H158" s="4" t="s">
        <v>23</v>
      </c>
      <c r="I158" s="4" t="s">
        <v>23</v>
      </c>
    </row>
    <row r="159" ht="20" customHeight="1" spans="1:9" x14ac:dyDescent="0.25">
      <c r="A159" s="3" t="s">
        <v>337</v>
      </c>
      <c r="B159" s="4" t="s">
        <v>290</v>
      </c>
      <c r="C159" s="3" t="s">
        <v>62</v>
      </c>
      <c r="D159" s="4" t="s">
        <v>338</v>
      </c>
      <c r="E159" s="3" t="s">
        <v>7</v>
      </c>
      <c r="F159" s="3" t="s">
        <v>22</v>
      </c>
      <c r="G159" s="4" t="s">
        <v>23</v>
      </c>
      <c r="H159" s="4" t="s">
        <v>23</v>
      </c>
      <c r="I159" s="4" t="s">
        <v>23</v>
      </c>
    </row>
    <row r="160" ht="20" customHeight="1" spans="1:9" x14ac:dyDescent="0.25">
      <c r="A160" s="3" t="s">
        <v>343</v>
      </c>
      <c r="B160" s="4" t="s">
        <v>290</v>
      </c>
      <c r="C160" s="3" t="s">
        <v>62</v>
      </c>
      <c r="D160" s="4" t="s">
        <v>344</v>
      </c>
      <c r="E160" s="3" t="s">
        <v>7</v>
      </c>
      <c r="F160" s="3" t="s">
        <v>22</v>
      </c>
      <c r="G160" s="4" t="s">
        <v>23</v>
      </c>
      <c r="H160" s="4" t="s">
        <v>23</v>
      </c>
      <c r="I160" s="4" t="s">
        <v>23</v>
      </c>
    </row>
    <row r="161" ht="20" customHeight="1" spans="1:9" x14ac:dyDescent="0.25">
      <c r="A161" s="3" t="s">
        <v>349</v>
      </c>
      <c r="B161" s="4" t="s">
        <v>290</v>
      </c>
      <c r="C161" s="3" t="s">
        <v>111</v>
      </c>
      <c r="D161" s="4" t="s">
        <v>350</v>
      </c>
      <c r="E161" s="3" t="s">
        <v>7</v>
      </c>
      <c r="F161" s="3" t="s">
        <v>22</v>
      </c>
      <c r="G161" s="4" t="s">
        <v>23</v>
      </c>
      <c r="H161" s="4" t="s">
        <v>23</v>
      </c>
      <c r="I161" s="4" t="s">
        <v>23</v>
      </c>
    </row>
    <row r="162" ht="20" customHeight="1" spans="1:9" x14ac:dyDescent="0.25">
      <c r="A162" s="3" t="s">
        <v>351</v>
      </c>
      <c r="B162" s="4" t="s">
        <v>290</v>
      </c>
      <c r="C162" s="3" t="s">
        <v>111</v>
      </c>
      <c r="D162" s="4" t="s">
        <v>352</v>
      </c>
      <c r="E162" s="3" t="s">
        <v>7</v>
      </c>
      <c r="F162" s="3" t="s">
        <v>22</v>
      </c>
      <c r="G162" s="4" t="s">
        <v>23</v>
      </c>
      <c r="H162" s="4" t="s">
        <v>23</v>
      </c>
      <c r="I162" s="4" t="s">
        <v>23</v>
      </c>
    </row>
    <row r="163" ht="34" customHeight="1" spans="1:9" x14ac:dyDescent="0.25">
      <c r="A163" s="3" t="s">
        <v>353</v>
      </c>
      <c r="B163" s="4" t="s">
        <v>290</v>
      </c>
      <c r="C163" s="3" t="s">
        <v>62</v>
      </c>
      <c r="D163" s="4" t="s">
        <v>354</v>
      </c>
      <c r="E163" s="3" t="s">
        <v>7</v>
      </c>
      <c r="F163" s="3" t="s">
        <v>22</v>
      </c>
      <c r="G163" s="4" t="s">
        <v>23</v>
      </c>
      <c r="H163" s="4" t="s">
        <v>23</v>
      </c>
      <c r="I163" s="4" t="s">
        <v>23</v>
      </c>
    </row>
    <row r="164" ht="34" customHeight="1" spans="1:9" x14ac:dyDescent="0.25">
      <c r="A164" s="3" t="s">
        <v>359</v>
      </c>
      <c r="B164" s="4" t="s">
        <v>356</v>
      </c>
      <c r="C164" s="3" t="s">
        <v>62</v>
      </c>
      <c r="D164" s="4" t="s">
        <v>360</v>
      </c>
      <c r="E164" s="3" t="s">
        <v>7</v>
      </c>
      <c r="F164" s="3" t="s">
        <v>22</v>
      </c>
      <c r="G164" s="4" t="s">
        <v>23</v>
      </c>
      <c r="H164" s="4" t="s">
        <v>23</v>
      </c>
      <c r="I164" s="4" t="s">
        <v>23</v>
      </c>
    </row>
    <row r="165" ht="34" customHeight="1" spans="1:9" x14ac:dyDescent="0.25">
      <c r="A165" s="3" t="s">
        <v>361</v>
      </c>
      <c r="B165" s="4" t="s">
        <v>356</v>
      </c>
      <c r="C165" s="3" t="s">
        <v>62</v>
      </c>
      <c r="D165" s="4" t="s">
        <v>362</v>
      </c>
      <c r="E165" s="3" t="s">
        <v>7</v>
      </c>
      <c r="F165" s="3" t="s">
        <v>22</v>
      </c>
      <c r="G165" s="4" t="s">
        <v>23</v>
      </c>
      <c r="H165" s="4" t="s">
        <v>23</v>
      </c>
      <c r="I165" s="4" t="s">
        <v>23</v>
      </c>
    </row>
    <row r="166" ht="34" customHeight="1" spans="1:9" x14ac:dyDescent="0.25">
      <c r="A166" s="3" t="s">
        <v>366</v>
      </c>
      <c r="B166" s="4" t="s">
        <v>356</v>
      </c>
      <c r="C166" s="3" t="s">
        <v>62</v>
      </c>
      <c r="D166" s="4" t="s">
        <v>367</v>
      </c>
      <c r="E166" s="3" t="s">
        <v>7</v>
      </c>
      <c r="F166" s="3" t="s">
        <v>22</v>
      </c>
      <c r="G166" s="4" t="s">
        <v>23</v>
      </c>
      <c r="H166" s="4" t="s">
        <v>23</v>
      </c>
      <c r="I166" s="4" t="s">
        <v>23</v>
      </c>
    </row>
    <row r="167" ht="34" customHeight="1" spans="1:9" x14ac:dyDescent="0.25">
      <c r="A167" s="3" t="s">
        <v>368</v>
      </c>
      <c r="B167" s="4" t="s">
        <v>356</v>
      </c>
      <c r="C167" s="3" t="s">
        <v>62</v>
      </c>
      <c r="D167" s="4" t="s">
        <v>369</v>
      </c>
      <c r="E167" s="3" t="s">
        <v>7</v>
      </c>
      <c r="F167" s="3" t="s">
        <v>22</v>
      </c>
      <c r="G167" s="4" t="s">
        <v>23</v>
      </c>
      <c r="H167" s="4" t="s">
        <v>23</v>
      </c>
      <c r="I167" s="4" t="s">
        <v>23</v>
      </c>
    </row>
    <row r="168" ht="34" customHeight="1" spans="1:9" x14ac:dyDescent="0.25">
      <c r="A168" s="3" t="s">
        <v>377</v>
      </c>
      <c r="B168" s="4" t="s">
        <v>356</v>
      </c>
      <c r="C168" s="3" t="s">
        <v>111</v>
      </c>
      <c r="D168" s="4" t="s">
        <v>378</v>
      </c>
      <c r="E168" s="3" t="s">
        <v>7</v>
      </c>
      <c r="F168" s="3" t="s">
        <v>22</v>
      </c>
      <c r="G168" s="4" t="s">
        <v>23</v>
      </c>
      <c r="H168" s="4" t="s">
        <v>23</v>
      </c>
      <c r="I168" s="4" t="s">
        <v>23</v>
      </c>
    </row>
    <row r="169" ht="34" customHeight="1" spans="1:9" x14ac:dyDescent="0.25">
      <c r="A169" s="3" t="s">
        <v>379</v>
      </c>
      <c r="B169" s="4" t="s">
        <v>356</v>
      </c>
      <c r="C169" s="3" t="s">
        <v>62</v>
      </c>
      <c r="D169" s="4" t="s">
        <v>381</v>
      </c>
      <c r="E169" s="3" t="s">
        <v>7</v>
      </c>
      <c r="F169" s="3" t="s">
        <v>22</v>
      </c>
      <c r="G169" s="4" t="s">
        <v>23</v>
      </c>
      <c r="H169" s="4" t="s">
        <v>23</v>
      </c>
      <c r="I169" s="4" t="s">
        <v>23</v>
      </c>
    </row>
    <row r="170" ht="34" customHeight="1" spans="1:9" x14ac:dyDescent="0.25">
      <c r="A170" s="3" t="s">
        <v>383</v>
      </c>
      <c r="B170" s="4" t="s">
        <v>356</v>
      </c>
      <c r="C170" s="3" t="s">
        <v>62</v>
      </c>
      <c r="D170" s="4" t="s">
        <v>384</v>
      </c>
      <c r="E170" s="3" t="s">
        <v>7</v>
      </c>
      <c r="F170" s="3" t="s">
        <v>22</v>
      </c>
      <c r="G170" s="4" t="s">
        <v>23</v>
      </c>
      <c r="H170" s="4" t="s">
        <v>23</v>
      </c>
      <c r="I170" s="4" t="s">
        <v>23</v>
      </c>
    </row>
    <row r="171" ht="34" customHeight="1" spans="1:9" x14ac:dyDescent="0.25">
      <c r="A171" s="3" t="s">
        <v>385</v>
      </c>
      <c r="B171" s="4" t="s">
        <v>356</v>
      </c>
      <c r="C171" s="3" t="s">
        <v>62</v>
      </c>
      <c r="D171" s="4" t="s">
        <v>386</v>
      </c>
      <c r="E171" s="3" t="s">
        <v>7</v>
      </c>
      <c r="F171" s="3" t="s">
        <v>22</v>
      </c>
      <c r="G171" s="4" t="s">
        <v>23</v>
      </c>
      <c r="H171" s="4" t="s">
        <v>23</v>
      </c>
      <c r="I171" s="4" t="s">
        <v>23</v>
      </c>
    </row>
    <row r="172" ht="20" customHeight="1" spans="1:9" x14ac:dyDescent="0.25">
      <c r="A172" s="3" t="s">
        <v>394</v>
      </c>
      <c r="B172" s="4" t="s">
        <v>388</v>
      </c>
      <c r="C172" s="3" t="s">
        <v>32</v>
      </c>
      <c r="D172" s="4" t="s">
        <v>395</v>
      </c>
      <c r="E172" s="3" t="s">
        <v>7</v>
      </c>
      <c r="F172" s="3" t="s">
        <v>22</v>
      </c>
      <c r="G172" s="4" t="s">
        <v>23</v>
      </c>
      <c r="H172" s="4" t="s">
        <v>23</v>
      </c>
      <c r="I172" s="4" t="s">
        <v>23</v>
      </c>
    </row>
    <row r="173" ht="20" customHeight="1" spans="1:9" x14ac:dyDescent="0.25">
      <c r="A173" s="3" t="s">
        <v>396</v>
      </c>
      <c r="B173" s="4" t="s">
        <v>388</v>
      </c>
      <c r="C173" s="3" t="s">
        <v>32</v>
      </c>
      <c r="D173" s="4" t="s">
        <v>397</v>
      </c>
      <c r="E173" s="3" t="s">
        <v>7</v>
      </c>
      <c r="F173" s="3" t="s">
        <v>22</v>
      </c>
      <c r="G173" s="4" t="s">
        <v>23</v>
      </c>
      <c r="H173" s="4" t="s">
        <v>23</v>
      </c>
      <c r="I173" s="4" t="s">
        <v>23</v>
      </c>
    </row>
    <row r="174" ht="34" customHeight="1" spans="1:9" x14ac:dyDescent="0.25">
      <c r="A174" s="3" t="s">
        <v>402</v>
      </c>
      <c r="B174" s="4" t="s">
        <v>388</v>
      </c>
      <c r="C174" s="3" t="s">
        <v>403</v>
      </c>
      <c r="D174" s="4" t="s">
        <v>404</v>
      </c>
      <c r="E174" s="3" t="s">
        <v>7</v>
      </c>
      <c r="F174" s="3" t="s">
        <v>22</v>
      </c>
      <c r="G174" s="4" t="s">
        <v>23</v>
      </c>
      <c r="H174" s="4" t="s">
        <v>23</v>
      </c>
      <c r="I174" s="4" t="s">
        <v>23</v>
      </c>
    </row>
    <row r="175" ht="20" customHeight="1" spans="1:9" x14ac:dyDescent="0.25">
      <c r="A175" s="3" t="s">
        <v>405</v>
      </c>
      <c r="B175" s="4" t="s">
        <v>388</v>
      </c>
      <c r="C175" s="3" t="s">
        <v>62</v>
      </c>
      <c r="D175" s="4" t="s">
        <v>407</v>
      </c>
      <c r="E175" s="3" t="s">
        <v>7</v>
      </c>
      <c r="F175" s="3" t="s">
        <v>22</v>
      </c>
      <c r="G175" s="4" t="s">
        <v>23</v>
      </c>
      <c r="H175" s="4" t="s">
        <v>23</v>
      </c>
      <c r="I175" s="4" t="s">
        <v>23</v>
      </c>
    </row>
    <row r="176" ht="20" customHeight="1" spans="1:9" x14ac:dyDescent="0.25">
      <c r="A176" s="3" t="s">
        <v>409</v>
      </c>
      <c r="B176" s="4" t="s">
        <v>388</v>
      </c>
      <c r="C176" s="3" t="s">
        <v>62</v>
      </c>
      <c r="D176" s="4" t="s">
        <v>410</v>
      </c>
      <c r="E176" s="3" t="s">
        <v>7</v>
      </c>
      <c r="F176" s="3" t="s">
        <v>22</v>
      </c>
      <c r="G176" s="4" t="s">
        <v>23</v>
      </c>
      <c r="H176" s="4" t="s">
        <v>23</v>
      </c>
      <c r="I176" s="4" t="s">
        <v>23</v>
      </c>
    </row>
    <row r="177" ht="20" customHeight="1" spans="1:9" x14ac:dyDescent="0.25">
      <c r="A177" s="3" t="s">
        <v>416</v>
      </c>
      <c r="B177" s="4" t="s">
        <v>388</v>
      </c>
      <c r="C177" s="3" t="s">
        <v>32</v>
      </c>
      <c r="D177" s="4" t="s">
        <v>417</v>
      </c>
      <c r="E177" s="3" t="s">
        <v>7</v>
      </c>
      <c r="F177" s="3" t="s">
        <v>22</v>
      </c>
      <c r="G177" s="4" t="s">
        <v>23</v>
      </c>
      <c r="H177" s="4" t="s">
        <v>23</v>
      </c>
      <c r="I177" s="4" t="s">
        <v>23</v>
      </c>
    </row>
    <row r="178" ht="20" customHeight="1" spans="1:9" x14ac:dyDescent="0.25">
      <c r="A178" s="3" t="s">
        <v>418</v>
      </c>
      <c r="B178" s="4" t="s">
        <v>388</v>
      </c>
      <c r="C178" s="3" t="s">
        <v>32</v>
      </c>
      <c r="D178" s="4" t="s">
        <v>420</v>
      </c>
      <c r="E178" s="3" t="s">
        <v>7</v>
      </c>
      <c r="F178" s="3" t="s">
        <v>22</v>
      </c>
      <c r="G178" s="4" t="s">
        <v>23</v>
      </c>
      <c r="H178" s="4" t="s">
        <v>23</v>
      </c>
      <c r="I178" s="4" t="s">
        <v>23</v>
      </c>
    </row>
    <row r="179" ht="20" customHeight="1" spans="1:9" x14ac:dyDescent="0.25">
      <c r="A179" s="3" t="s">
        <v>421</v>
      </c>
      <c r="B179" s="4" t="s">
        <v>388</v>
      </c>
      <c r="C179" s="3" t="s">
        <v>32</v>
      </c>
      <c r="D179" s="4" t="s">
        <v>422</v>
      </c>
      <c r="E179" s="3" t="s">
        <v>7</v>
      </c>
      <c r="F179" s="3" t="s">
        <v>22</v>
      </c>
      <c r="G179" s="4" t="s">
        <v>23</v>
      </c>
      <c r="H179" s="4" t="s">
        <v>23</v>
      </c>
      <c r="I179" s="4" t="s">
        <v>23</v>
      </c>
    </row>
    <row r="180" ht="20" customHeight="1" spans="1:9" x14ac:dyDescent="0.25">
      <c r="A180" s="3" t="s">
        <v>423</v>
      </c>
      <c r="B180" s="4" t="s">
        <v>388</v>
      </c>
      <c r="C180" s="3" t="s">
        <v>32</v>
      </c>
      <c r="D180" s="4" t="s">
        <v>424</v>
      </c>
      <c r="E180" s="3" t="s">
        <v>7</v>
      </c>
      <c r="F180" s="3" t="s">
        <v>22</v>
      </c>
      <c r="G180" s="4" t="s">
        <v>23</v>
      </c>
      <c r="H180" s="4" t="s">
        <v>23</v>
      </c>
      <c r="I180" s="4" t="s">
        <v>23</v>
      </c>
    </row>
    <row r="181" ht="20" customHeight="1" spans="1:9" x14ac:dyDescent="0.25">
      <c r="A181" s="3" t="s">
        <v>427</v>
      </c>
      <c r="B181" s="4" t="s">
        <v>388</v>
      </c>
      <c r="C181" s="3" t="s">
        <v>65</v>
      </c>
      <c r="D181" s="4" t="s">
        <v>429</v>
      </c>
      <c r="E181" s="3" t="s">
        <v>7</v>
      </c>
      <c r="F181" s="3" t="s">
        <v>22</v>
      </c>
      <c r="G181" s="4" t="s">
        <v>23</v>
      </c>
      <c r="H181" s="4" t="s">
        <v>23</v>
      </c>
      <c r="I181" s="4" t="s">
        <v>23</v>
      </c>
    </row>
    <row r="182" ht="20" customHeight="1" spans="1:9" x14ac:dyDescent="0.25">
      <c r="A182" s="3" t="s">
        <v>431</v>
      </c>
      <c r="B182" s="4" t="s">
        <v>388</v>
      </c>
      <c r="C182" s="3" t="s">
        <v>62</v>
      </c>
      <c r="D182" s="4" t="s">
        <v>432</v>
      </c>
      <c r="E182" s="3" t="s">
        <v>7</v>
      </c>
      <c r="F182" s="3" t="s">
        <v>22</v>
      </c>
      <c r="G182" s="4" t="s">
        <v>23</v>
      </c>
      <c r="H182" s="4" t="s">
        <v>23</v>
      </c>
      <c r="I182" s="4" t="s">
        <v>23</v>
      </c>
    </row>
    <row r="183" ht="20" customHeight="1" spans="1:9" x14ac:dyDescent="0.25">
      <c r="A183" s="3" t="s">
        <v>433</v>
      </c>
      <c r="B183" s="4" t="s">
        <v>388</v>
      </c>
      <c r="C183" s="3" t="s">
        <v>65</v>
      </c>
      <c r="D183" s="4" t="s">
        <v>434</v>
      </c>
      <c r="E183" s="3" t="s">
        <v>7</v>
      </c>
      <c r="F183" s="3" t="s">
        <v>22</v>
      </c>
      <c r="G183" s="4" t="s">
        <v>23</v>
      </c>
      <c r="H183" s="4" t="s">
        <v>23</v>
      </c>
      <c r="I183" s="4" t="s">
        <v>23</v>
      </c>
    </row>
    <row r="184" ht="34" customHeight="1" spans="1:9" x14ac:dyDescent="0.25">
      <c r="A184" s="3" t="s">
        <v>442</v>
      </c>
      <c r="B184" s="4" t="s">
        <v>436</v>
      </c>
      <c r="C184" s="3" t="s">
        <v>403</v>
      </c>
      <c r="D184" s="4" t="s">
        <v>443</v>
      </c>
      <c r="E184" s="3" t="s">
        <v>7</v>
      </c>
      <c r="F184" s="3" t="s">
        <v>22</v>
      </c>
      <c r="G184" s="4" t="s">
        <v>23</v>
      </c>
      <c r="H184" s="4" t="s">
        <v>23</v>
      </c>
      <c r="I184" s="4" t="s">
        <v>23</v>
      </c>
    </row>
    <row r="185" ht="34" customHeight="1" spans="1:9" x14ac:dyDescent="0.25">
      <c r="A185" s="3" t="s">
        <v>450</v>
      </c>
      <c r="B185" s="4" t="s">
        <v>436</v>
      </c>
      <c r="C185" s="3" t="s">
        <v>65</v>
      </c>
      <c r="D185" s="4" t="s">
        <v>451</v>
      </c>
      <c r="E185" s="3" t="s">
        <v>7</v>
      </c>
      <c r="F185" s="3" t="s">
        <v>22</v>
      </c>
      <c r="G185" s="4" t="s">
        <v>23</v>
      </c>
      <c r="H185" s="4" t="s">
        <v>23</v>
      </c>
      <c r="I185" s="4" t="s">
        <v>23</v>
      </c>
    </row>
    <row r="186" ht="34" customHeight="1" spans="1:9" x14ac:dyDescent="0.25">
      <c r="A186" s="3" t="s">
        <v>452</v>
      </c>
      <c r="B186" s="4" t="s">
        <v>436</v>
      </c>
      <c r="C186" s="3" t="s">
        <v>403</v>
      </c>
      <c r="D186" s="4" t="s">
        <v>454</v>
      </c>
      <c r="E186" s="3" t="s">
        <v>7</v>
      </c>
      <c r="F186" s="3" t="s">
        <v>22</v>
      </c>
      <c r="G186" s="4" t="s">
        <v>23</v>
      </c>
      <c r="H186" s="4" t="s">
        <v>23</v>
      </c>
      <c r="I186" s="4" t="s">
        <v>23</v>
      </c>
    </row>
    <row r="187" ht="34" customHeight="1" spans="1:9" x14ac:dyDescent="0.25">
      <c r="A187" s="3" t="s">
        <v>458</v>
      </c>
      <c r="B187" s="4" t="s">
        <v>436</v>
      </c>
      <c r="C187" s="3" t="s">
        <v>403</v>
      </c>
      <c r="D187" s="4" t="s">
        <v>459</v>
      </c>
      <c r="E187" s="3" t="s">
        <v>7</v>
      </c>
      <c r="F187" s="3" t="s">
        <v>22</v>
      </c>
      <c r="G187" s="4" t="s">
        <v>23</v>
      </c>
      <c r="H187" s="4" t="s">
        <v>23</v>
      </c>
      <c r="I187" s="4" t="s">
        <v>23</v>
      </c>
    </row>
    <row r="188" ht="34" customHeight="1" spans="1:9" x14ac:dyDescent="0.25">
      <c r="A188" s="3" t="s">
        <v>460</v>
      </c>
      <c r="B188" s="4" t="s">
        <v>436</v>
      </c>
      <c r="C188" s="3" t="s">
        <v>403</v>
      </c>
      <c r="D188" s="4" t="s">
        <v>462</v>
      </c>
      <c r="E188" s="3" t="s">
        <v>7</v>
      </c>
      <c r="F188" s="3" t="s">
        <v>22</v>
      </c>
      <c r="G188" s="4" t="s">
        <v>23</v>
      </c>
      <c r="H188" s="4" t="s">
        <v>23</v>
      </c>
      <c r="I188" s="4" t="s">
        <v>23</v>
      </c>
    </row>
    <row r="189" ht="34" customHeight="1" spans="1:9" x14ac:dyDescent="0.25">
      <c r="A189" s="3" t="s">
        <v>463</v>
      </c>
      <c r="B189" s="4" t="s">
        <v>436</v>
      </c>
      <c r="C189" s="3" t="s">
        <v>403</v>
      </c>
      <c r="D189" s="4" t="s">
        <v>464</v>
      </c>
      <c r="E189" s="3" t="s">
        <v>7</v>
      </c>
      <c r="F189" s="3" t="s">
        <v>22</v>
      </c>
      <c r="G189" s="4" t="s">
        <v>23</v>
      </c>
      <c r="H189" s="4" t="s">
        <v>23</v>
      </c>
      <c r="I189" s="4" t="s">
        <v>23</v>
      </c>
    </row>
    <row r="190" ht="34" customHeight="1" spans="1:9" x14ac:dyDescent="0.25">
      <c r="A190" s="3" t="s">
        <v>465</v>
      </c>
      <c r="B190" s="4" t="s">
        <v>436</v>
      </c>
      <c r="C190" s="3" t="s">
        <v>62</v>
      </c>
      <c r="D190" s="4" t="s">
        <v>466</v>
      </c>
      <c r="E190" s="3" t="s">
        <v>7</v>
      </c>
      <c r="F190" s="3" t="s">
        <v>22</v>
      </c>
      <c r="G190" s="4" t="s">
        <v>23</v>
      </c>
      <c r="H190" s="4" t="s">
        <v>23</v>
      </c>
      <c r="I190" s="4" t="s">
        <v>23</v>
      </c>
    </row>
    <row r="191" ht="34" customHeight="1" spans="1:9" x14ac:dyDescent="0.25">
      <c r="A191" s="3" t="s">
        <v>467</v>
      </c>
      <c r="B191" s="4" t="s">
        <v>436</v>
      </c>
      <c r="C191" s="3" t="s">
        <v>403</v>
      </c>
      <c r="D191" s="4" t="s">
        <v>468</v>
      </c>
      <c r="E191" s="3" t="s">
        <v>7</v>
      </c>
      <c r="F191" s="3" t="s">
        <v>22</v>
      </c>
      <c r="G191" s="4" t="s">
        <v>23</v>
      </c>
      <c r="H191" s="4" t="s">
        <v>23</v>
      </c>
      <c r="I191" s="4" t="s">
        <v>23</v>
      </c>
    </row>
    <row r="192" ht="34" customHeight="1" spans="1:9" x14ac:dyDescent="0.25">
      <c r="A192" s="3" t="s">
        <v>469</v>
      </c>
      <c r="B192" s="4" t="s">
        <v>436</v>
      </c>
      <c r="C192" s="3" t="s">
        <v>403</v>
      </c>
      <c r="D192" s="4" t="s">
        <v>471</v>
      </c>
      <c r="E192" s="3" t="s">
        <v>7</v>
      </c>
      <c r="F192" s="3" t="s">
        <v>22</v>
      </c>
      <c r="G192" s="4" t="s">
        <v>23</v>
      </c>
      <c r="H192" s="4" t="s">
        <v>23</v>
      </c>
      <c r="I192" s="4" t="s">
        <v>23</v>
      </c>
    </row>
    <row r="193" ht="34" customHeight="1" spans="1:9" x14ac:dyDescent="0.25">
      <c r="A193" s="3" t="s">
        <v>472</v>
      </c>
      <c r="B193" s="4" t="s">
        <v>436</v>
      </c>
      <c r="C193" s="3" t="s">
        <v>403</v>
      </c>
      <c r="D193" s="4" t="s">
        <v>473</v>
      </c>
      <c r="E193" s="3" t="s">
        <v>7</v>
      </c>
      <c r="F193" s="3" t="s">
        <v>22</v>
      </c>
      <c r="G193" s="4" t="s">
        <v>23</v>
      </c>
      <c r="H193" s="4" t="s">
        <v>23</v>
      </c>
      <c r="I193" s="4" t="s">
        <v>23</v>
      </c>
    </row>
    <row r="194" ht="34" customHeight="1" spans="1:9" x14ac:dyDescent="0.25">
      <c r="A194" s="3" t="s">
        <v>476</v>
      </c>
      <c r="B194" s="4" t="s">
        <v>436</v>
      </c>
      <c r="C194" s="3" t="s">
        <v>403</v>
      </c>
      <c r="D194" s="4" t="s">
        <v>478</v>
      </c>
      <c r="E194" s="3" t="s">
        <v>7</v>
      </c>
      <c r="F194" s="3" t="s">
        <v>22</v>
      </c>
      <c r="G194" s="4" t="s">
        <v>23</v>
      </c>
      <c r="H194" s="4" t="s">
        <v>23</v>
      </c>
      <c r="I194" s="4" t="s">
        <v>23</v>
      </c>
    </row>
    <row r="195" ht="34" customHeight="1" spans="1:9" x14ac:dyDescent="0.25">
      <c r="A195" s="3" t="s">
        <v>479</v>
      </c>
      <c r="B195" s="4" t="s">
        <v>436</v>
      </c>
      <c r="C195" s="3" t="s">
        <v>32</v>
      </c>
      <c r="D195" s="4" t="s">
        <v>480</v>
      </c>
      <c r="E195" s="3" t="s">
        <v>7</v>
      </c>
      <c r="F195" s="3" t="s">
        <v>22</v>
      </c>
      <c r="G195" s="4" t="s">
        <v>23</v>
      </c>
      <c r="H195" s="4" t="s">
        <v>23</v>
      </c>
      <c r="I195" s="4" t="s">
        <v>23</v>
      </c>
    </row>
    <row r="196" ht="34" customHeight="1" spans="1:9" x14ac:dyDescent="0.25">
      <c r="A196" s="3" t="s">
        <v>481</v>
      </c>
      <c r="B196" s="4" t="s">
        <v>436</v>
      </c>
      <c r="C196" s="3" t="s">
        <v>403</v>
      </c>
      <c r="D196" s="4" t="s">
        <v>482</v>
      </c>
      <c r="E196" s="3" t="s">
        <v>7</v>
      </c>
      <c r="F196" s="3" t="s">
        <v>22</v>
      </c>
      <c r="G196" s="4" t="s">
        <v>23</v>
      </c>
      <c r="H196" s="4" t="s">
        <v>23</v>
      </c>
      <c r="I196" s="4" t="s">
        <v>23</v>
      </c>
    </row>
    <row r="197" ht="34" customHeight="1" spans="1:9" x14ac:dyDescent="0.25">
      <c r="A197" s="3" t="s">
        <v>483</v>
      </c>
      <c r="B197" s="4" t="s">
        <v>436</v>
      </c>
      <c r="C197" s="3" t="s">
        <v>111</v>
      </c>
      <c r="D197" s="4" t="s">
        <v>484</v>
      </c>
      <c r="E197" s="3" t="s">
        <v>7</v>
      </c>
      <c r="F197" s="3" t="s">
        <v>22</v>
      </c>
      <c r="G197" s="4" t="s">
        <v>23</v>
      </c>
      <c r="H197" s="4" t="s">
        <v>23</v>
      </c>
      <c r="I197" s="4" t="s">
        <v>23</v>
      </c>
    </row>
    <row r="198" ht="34" customHeight="1" spans="1:9" x14ac:dyDescent="0.25">
      <c r="A198" s="3" t="s">
        <v>485</v>
      </c>
      <c r="B198" s="4" t="s">
        <v>436</v>
      </c>
      <c r="C198" s="3" t="s">
        <v>62</v>
      </c>
      <c r="D198" s="4" t="s">
        <v>487</v>
      </c>
      <c r="E198" s="3" t="s">
        <v>7</v>
      </c>
      <c r="F198" s="3" t="s">
        <v>22</v>
      </c>
      <c r="G198" s="4" t="s">
        <v>23</v>
      </c>
      <c r="H198" s="4" t="s">
        <v>23</v>
      </c>
      <c r="I198" s="4" t="s">
        <v>23</v>
      </c>
    </row>
    <row r="199" ht="34" customHeight="1" spans="1:9" x14ac:dyDescent="0.25">
      <c r="A199" s="3" t="s">
        <v>489</v>
      </c>
      <c r="B199" s="4" t="s">
        <v>436</v>
      </c>
      <c r="C199" s="3" t="s">
        <v>62</v>
      </c>
      <c r="D199" s="4" t="s">
        <v>490</v>
      </c>
      <c r="E199" s="3" t="s">
        <v>7</v>
      </c>
      <c r="F199" s="3" t="s">
        <v>22</v>
      </c>
      <c r="G199" s="4" t="s">
        <v>23</v>
      </c>
      <c r="H199" s="4" t="s">
        <v>23</v>
      </c>
      <c r="I199" s="4" t="s">
        <v>23</v>
      </c>
    </row>
    <row r="200" ht="34" customHeight="1" spans="1:9" x14ac:dyDescent="0.25">
      <c r="A200" s="3" t="s">
        <v>491</v>
      </c>
      <c r="B200" s="4" t="s">
        <v>492</v>
      </c>
      <c r="C200" s="3" t="s">
        <v>111</v>
      </c>
      <c r="D200" s="4" t="s">
        <v>494</v>
      </c>
      <c r="E200" s="3" t="s">
        <v>7</v>
      </c>
      <c r="F200" s="3" t="s">
        <v>22</v>
      </c>
      <c r="G200" s="4" t="s">
        <v>23</v>
      </c>
      <c r="H200" s="4" t="s">
        <v>23</v>
      </c>
      <c r="I200" s="4" t="s">
        <v>23</v>
      </c>
    </row>
    <row r="201" ht="34" customHeight="1" spans="1:9" x14ac:dyDescent="0.25">
      <c r="A201" s="3" t="s">
        <v>499</v>
      </c>
      <c r="B201" s="4" t="s">
        <v>492</v>
      </c>
      <c r="C201" s="3" t="s">
        <v>111</v>
      </c>
      <c r="D201" s="4" t="s">
        <v>500</v>
      </c>
      <c r="E201" s="3" t="s">
        <v>7</v>
      </c>
      <c r="F201" s="3" t="s">
        <v>22</v>
      </c>
      <c r="G201" s="4" t="s">
        <v>23</v>
      </c>
      <c r="H201" s="4" t="s">
        <v>23</v>
      </c>
      <c r="I201" s="4" t="s">
        <v>23</v>
      </c>
    </row>
    <row r="202" ht="34" customHeight="1" spans="1:9" x14ac:dyDescent="0.25">
      <c r="A202" s="3" t="s">
        <v>504</v>
      </c>
      <c r="B202" s="4" t="s">
        <v>492</v>
      </c>
      <c r="C202" s="3" t="s">
        <v>111</v>
      </c>
      <c r="D202" s="4" t="s">
        <v>505</v>
      </c>
      <c r="E202" s="3" t="s">
        <v>7</v>
      </c>
      <c r="F202" s="3" t="s">
        <v>22</v>
      </c>
      <c r="G202" s="4" t="s">
        <v>23</v>
      </c>
      <c r="H202" s="4" t="s">
        <v>23</v>
      </c>
      <c r="I202" s="4" t="s">
        <v>23</v>
      </c>
    </row>
    <row r="203" ht="34" customHeight="1" spans="1:9" x14ac:dyDescent="0.25">
      <c r="A203" s="3" t="s">
        <v>506</v>
      </c>
      <c r="B203" s="4" t="s">
        <v>492</v>
      </c>
      <c r="C203" s="3" t="s">
        <v>79</v>
      </c>
      <c r="D203" s="4" t="s">
        <v>507</v>
      </c>
      <c r="E203" s="3" t="s">
        <v>7</v>
      </c>
      <c r="F203" s="3" t="s">
        <v>22</v>
      </c>
      <c r="G203" s="4" t="s">
        <v>23</v>
      </c>
      <c r="H203" s="4" t="s">
        <v>23</v>
      </c>
      <c r="I203" s="4" t="s">
        <v>23</v>
      </c>
    </row>
    <row r="204" ht="34" customHeight="1" spans="1:9" x14ac:dyDescent="0.25">
      <c r="A204" s="3" t="s">
        <v>508</v>
      </c>
      <c r="B204" s="4" t="s">
        <v>492</v>
      </c>
      <c r="C204" s="3" t="s">
        <v>111</v>
      </c>
      <c r="D204" s="4" t="s">
        <v>510</v>
      </c>
      <c r="E204" s="3" t="s">
        <v>7</v>
      </c>
      <c r="F204" s="3" t="s">
        <v>22</v>
      </c>
      <c r="G204" s="4" t="s">
        <v>23</v>
      </c>
      <c r="H204" s="4" t="s">
        <v>23</v>
      </c>
      <c r="I204" s="4" t="s">
        <v>23</v>
      </c>
    </row>
    <row r="205" ht="34" customHeight="1" spans="1:9" x14ac:dyDescent="0.25">
      <c r="A205" s="3" t="s">
        <v>511</v>
      </c>
      <c r="B205" s="4" t="s">
        <v>492</v>
      </c>
      <c r="C205" s="3" t="s">
        <v>111</v>
      </c>
      <c r="D205" s="4" t="s">
        <v>512</v>
      </c>
      <c r="E205" s="3" t="s">
        <v>7</v>
      </c>
      <c r="F205" s="3" t="s">
        <v>22</v>
      </c>
      <c r="G205" s="4" t="s">
        <v>23</v>
      </c>
      <c r="H205" s="4" t="s">
        <v>23</v>
      </c>
      <c r="I205" s="4" t="s">
        <v>23</v>
      </c>
    </row>
    <row r="206" ht="34" customHeight="1" spans="1:9" x14ac:dyDescent="0.25">
      <c r="A206" s="3" t="s">
        <v>513</v>
      </c>
      <c r="B206" s="4" t="s">
        <v>492</v>
      </c>
      <c r="C206" s="3" t="s">
        <v>111</v>
      </c>
      <c r="D206" s="4" t="s">
        <v>514</v>
      </c>
      <c r="E206" s="3" t="s">
        <v>7</v>
      </c>
      <c r="F206" s="3" t="s">
        <v>22</v>
      </c>
      <c r="G206" s="4" t="s">
        <v>23</v>
      </c>
      <c r="H206" s="4" t="s">
        <v>23</v>
      </c>
      <c r="I206" s="4" t="s">
        <v>23</v>
      </c>
    </row>
    <row r="207" ht="34" customHeight="1" spans="1:9" x14ac:dyDescent="0.25">
      <c r="A207" s="3" t="s">
        <v>515</v>
      </c>
      <c r="B207" s="4" t="s">
        <v>492</v>
      </c>
      <c r="C207" s="3" t="s">
        <v>111</v>
      </c>
      <c r="D207" s="4" t="s">
        <v>516</v>
      </c>
      <c r="E207" s="3" t="s">
        <v>7</v>
      </c>
      <c r="F207" s="3" t="s">
        <v>22</v>
      </c>
      <c r="G207" s="4" t="s">
        <v>23</v>
      </c>
      <c r="H207" s="4" t="s">
        <v>23</v>
      </c>
      <c r="I207" s="4" t="s">
        <v>23</v>
      </c>
    </row>
    <row r="208" ht="34" customHeight="1" spans="1:9" x14ac:dyDescent="0.25">
      <c r="A208" s="3" t="s">
        <v>519</v>
      </c>
      <c r="B208" s="4" t="s">
        <v>492</v>
      </c>
      <c r="C208" s="3" t="s">
        <v>111</v>
      </c>
      <c r="D208" s="4" t="s">
        <v>520</v>
      </c>
      <c r="E208" s="3" t="s">
        <v>7</v>
      </c>
      <c r="F208" s="3" t="s">
        <v>22</v>
      </c>
      <c r="G208" s="4" t="s">
        <v>23</v>
      </c>
      <c r="H208" s="4" t="s">
        <v>23</v>
      </c>
      <c r="I208" s="4" t="s">
        <v>23</v>
      </c>
    </row>
    <row r="209" ht="34" customHeight="1" spans="1:9" x14ac:dyDescent="0.25">
      <c r="A209" s="3" t="s">
        <v>521</v>
      </c>
      <c r="B209" s="4" t="s">
        <v>492</v>
      </c>
      <c r="C209" s="3" t="s">
        <v>111</v>
      </c>
      <c r="D209" s="4" t="s">
        <v>523</v>
      </c>
      <c r="E209" s="3" t="s">
        <v>7</v>
      </c>
      <c r="F209" s="3" t="s">
        <v>22</v>
      </c>
      <c r="G209" s="4" t="s">
        <v>23</v>
      </c>
      <c r="H209" s="4" t="s">
        <v>23</v>
      </c>
      <c r="I209" s="4" t="s">
        <v>23</v>
      </c>
    </row>
    <row r="210" ht="34" customHeight="1" spans="1:9" x14ac:dyDescent="0.25">
      <c r="A210" s="3" t="s">
        <v>524</v>
      </c>
      <c r="B210" s="4" t="s">
        <v>492</v>
      </c>
      <c r="C210" s="3" t="s">
        <v>111</v>
      </c>
      <c r="D210" s="4" t="s">
        <v>525</v>
      </c>
      <c r="E210" s="3" t="s">
        <v>7</v>
      </c>
      <c r="F210" s="3" t="s">
        <v>22</v>
      </c>
      <c r="G210" s="4" t="s">
        <v>23</v>
      </c>
      <c r="H210" s="4" t="s">
        <v>23</v>
      </c>
      <c r="I210" s="4" t="s">
        <v>23</v>
      </c>
    </row>
    <row r="211" ht="34" customHeight="1" spans="1:9" x14ac:dyDescent="0.25">
      <c r="A211" s="3" t="s">
        <v>526</v>
      </c>
      <c r="B211" s="4" t="s">
        <v>492</v>
      </c>
      <c r="C211" s="3" t="s">
        <v>111</v>
      </c>
      <c r="D211" s="4" t="s">
        <v>527</v>
      </c>
      <c r="E211" s="3" t="s">
        <v>7</v>
      </c>
      <c r="F211" s="3" t="s">
        <v>22</v>
      </c>
      <c r="G211" s="4" t="s">
        <v>23</v>
      </c>
      <c r="H211" s="4" t="s">
        <v>23</v>
      </c>
      <c r="I211" s="4" t="s">
        <v>23</v>
      </c>
    </row>
    <row r="212" ht="34" customHeight="1" spans="1:9" x14ac:dyDescent="0.25">
      <c r="A212" s="3" t="s">
        <v>528</v>
      </c>
      <c r="B212" s="4" t="s">
        <v>492</v>
      </c>
      <c r="C212" s="3" t="s">
        <v>18</v>
      </c>
      <c r="D212" s="4" t="s">
        <v>530</v>
      </c>
      <c r="E212" s="3" t="s">
        <v>7</v>
      </c>
      <c r="F212" s="3" t="s">
        <v>22</v>
      </c>
      <c r="G212" s="4" t="s">
        <v>23</v>
      </c>
      <c r="H212" s="4" t="s">
        <v>23</v>
      </c>
      <c r="I212" s="4" t="s">
        <v>23</v>
      </c>
    </row>
    <row r="213" ht="34" customHeight="1" spans="1:9" x14ac:dyDescent="0.25">
      <c r="A213" s="3" t="s">
        <v>531</v>
      </c>
      <c r="B213" s="4" t="s">
        <v>492</v>
      </c>
      <c r="C213" s="3" t="s">
        <v>111</v>
      </c>
      <c r="D213" s="4" t="s">
        <v>532</v>
      </c>
      <c r="E213" s="3" t="s">
        <v>7</v>
      </c>
      <c r="F213" s="3" t="s">
        <v>22</v>
      </c>
      <c r="G213" s="4" t="s">
        <v>23</v>
      </c>
      <c r="H213" s="4" t="s">
        <v>23</v>
      </c>
      <c r="I213" s="4" t="s">
        <v>23</v>
      </c>
    </row>
    <row r="214" ht="34" customHeight="1" spans="1:9" x14ac:dyDescent="0.25">
      <c r="A214" s="3" t="s">
        <v>547</v>
      </c>
      <c r="B214" s="4" t="s">
        <v>492</v>
      </c>
      <c r="C214" s="3" t="s">
        <v>111</v>
      </c>
      <c r="D214" s="4" t="s">
        <v>548</v>
      </c>
      <c r="E214" s="3" t="s">
        <v>7</v>
      </c>
      <c r="F214" s="3" t="s">
        <v>22</v>
      </c>
      <c r="G214" s="4" t="s">
        <v>23</v>
      </c>
      <c r="H214" s="4" t="s">
        <v>23</v>
      </c>
      <c r="I214" s="4" t="s">
        <v>23</v>
      </c>
    </row>
    <row r="215" ht="34" customHeight="1" spans="1:9" x14ac:dyDescent="0.25">
      <c r="A215" s="3" t="s">
        <v>549</v>
      </c>
      <c r="B215" s="4" t="s">
        <v>492</v>
      </c>
      <c r="C215" s="3" t="s">
        <v>111</v>
      </c>
      <c r="D215" s="4" t="s">
        <v>550</v>
      </c>
      <c r="E215" s="3" t="s">
        <v>7</v>
      </c>
      <c r="F215" s="3" t="s">
        <v>22</v>
      </c>
      <c r="G215" s="4" t="s">
        <v>23</v>
      </c>
      <c r="H215" s="4" t="s">
        <v>23</v>
      </c>
      <c r="I215" s="4" t="s">
        <v>23</v>
      </c>
    </row>
    <row r="216" ht="34" customHeight="1" spans="1:9" x14ac:dyDescent="0.25">
      <c r="A216" s="3" t="s">
        <v>557</v>
      </c>
      <c r="B216" s="4" t="s">
        <v>552</v>
      </c>
      <c r="C216" s="3" t="s">
        <v>79</v>
      </c>
      <c r="D216" s="4" t="s">
        <v>558</v>
      </c>
      <c r="E216" s="3" t="s">
        <v>7</v>
      </c>
      <c r="F216" s="3" t="s">
        <v>22</v>
      </c>
      <c r="G216" s="4" t="s">
        <v>23</v>
      </c>
      <c r="H216" s="4" t="s">
        <v>23</v>
      </c>
      <c r="I216" s="4" t="s">
        <v>23</v>
      </c>
    </row>
    <row r="217" ht="34" customHeight="1" spans="1:9" x14ac:dyDescent="0.25">
      <c r="A217" s="3" t="s">
        <v>559</v>
      </c>
      <c r="B217" s="4" t="s">
        <v>552</v>
      </c>
      <c r="C217" s="3" t="s">
        <v>79</v>
      </c>
      <c r="D217" s="4" t="s">
        <v>560</v>
      </c>
      <c r="E217" s="3" t="s">
        <v>7</v>
      </c>
      <c r="F217" s="3" t="s">
        <v>22</v>
      </c>
      <c r="G217" s="4" t="s">
        <v>23</v>
      </c>
      <c r="H217" s="4" t="s">
        <v>23</v>
      </c>
      <c r="I217" s="4" t="s">
        <v>23</v>
      </c>
    </row>
    <row r="218" ht="34" customHeight="1" spans="1:9" x14ac:dyDescent="0.25">
      <c r="A218" s="3" t="s">
        <v>561</v>
      </c>
      <c r="B218" s="4" t="s">
        <v>552</v>
      </c>
      <c r="C218" s="3" t="s">
        <v>79</v>
      </c>
      <c r="D218" s="4" t="s">
        <v>562</v>
      </c>
      <c r="E218" s="3" t="s">
        <v>7</v>
      </c>
      <c r="F218" s="3" t="s">
        <v>22</v>
      </c>
      <c r="G218" s="4" t="s">
        <v>23</v>
      </c>
      <c r="H218" s="4" t="s">
        <v>23</v>
      </c>
      <c r="I218" s="4" t="s">
        <v>23</v>
      </c>
    </row>
    <row r="219" ht="34" customHeight="1" spans="1:9" x14ac:dyDescent="0.25">
      <c r="A219" s="3" t="s">
        <v>568</v>
      </c>
      <c r="B219" s="4" t="s">
        <v>552</v>
      </c>
      <c r="C219" s="3" t="s">
        <v>79</v>
      </c>
      <c r="D219" s="4" t="s">
        <v>569</v>
      </c>
      <c r="E219" s="3" t="s">
        <v>7</v>
      </c>
      <c r="F219" s="3" t="s">
        <v>22</v>
      </c>
      <c r="G219" s="4" t="s">
        <v>23</v>
      </c>
      <c r="H219" s="4" t="s">
        <v>23</v>
      </c>
      <c r="I219" s="4" t="s">
        <v>23</v>
      </c>
    </row>
    <row r="220" ht="34" customHeight="1" spans="1:9" x14ac:dyDescent="0.25">
      <c r="A220" s="3" t="s">
        <v>570</v>
      </c>
      <c r="B220" s="4" t="s">
        <v>552</v>
      </c>
      <c r="C220" s="3" t="s">
        <v>79</v>
      </c>
      <c r="D220" s="4" t="s">
        <v>571</v>
      </c>
      <c r="E220" s="3" t="s">
        <v>7</v>
      </c>
      <c r="F220" s="3" t="s">
        <v>22</v>
      </c>
      <c r="G220" s="4" t="s">
        <v>23</v>
      </c>
      <c r="H220" s="4" t="s">
        <v>23</v>
      </c>
      <c r="I220" s="4" t="s">
        <v>23</v>
      </c>
    </row>
    <row r="221" ht="34" customHeight="1" spans="1:9" x14ac:dyDescent="0.25">
      <c r="A221" s="3" t="s">
        <v>572</v>
      </c>
      <c r="B221" s="4" t="s">
        <v>552</v>
      </c>
      <c r="C221" s="3" t="s">
        <v>79</v>
      </c>
      <c r="D221" s="4" t="s">
        <v>573</v>
      </c>
      <c r="E221" s="3" t="s">
        <v>7</v>
      </c>
      <c r="F221" s="3" t="s">
        <v>22</v>
      </c>
      <c r="G221" s="4" t="s">
        <v>23</v>
      </c>
      <c r="H221" s="4" t="s">
        <v>23</v>
      </c>
      <c r="I221" s="4" t="s">
        <v>23</v>
      </c>
    </row>
    <row r="222" ht="34" customHeight="1" spans="1:9" x14ac:dyDescent="0.25">
      <c r="A222" s="3" t="s">
        <v>574</v>
      </c>
      <c r="B222" s="4" t="s">
        <v>552</v>
      </c>
      <c r="C222" s="3" t="s">
        <v>79</v>
      </c>
      <c r="D222" s="4" t="s">
        <v>576</v>
      </c>
      <c r="E222" s="3" t="s">
        <v>7</v>
      </c>
      <c r="F222" s="3" t="s">
        <v>22</v>
      </c>
      <c r="G222" s="4" t="s">
        <v>23</v>
      </c>
      <c r="H222" s="4" t="s">
        <v>23</v>
      </c>
      <c r="I222" s="4" t="s">
        <v>23</v>
      </c>
    </row>
    <row r="223" ht="34" customHeight="1" spans="1:9" x14ac:dyDescent="0.25">
      <c r="A223" s="3" t="s">
        <v>577</v>
      </c>
      <c r="B223" s="4" t="s">
        <v>552</v>
      </c>
      <c r="C223" s="3" t="s">
        <v>79</v>
      </c>
      <c r="D223" s="4" t="s">
        <v>578</v>
      </c>
      <c r="E223" s="3" t="s">
        <v>7</v>
      </c>
      <c r="F223" s="3" t="s">
        <v>22</v>
      </c>
      <c r="G223" s="4" t="s">
        <v>23</v>
      </c>
      <c r="H223" s="4" t="s">
        <v>23</v>
      </c>
      <c r="I223" s="4" t="s">
        <v>23</v>
      </c>
    </row>
    <row r="224" ht="34" customHeight="1" spans="1:9" x14ac:dyDescent="0.25">
      <c r="A224" s="3" t="s">
        <v>584</v>
      </c>
      <c r="B224" s="4" t="s">
        <v>552</v>
      </c>
      <c r="C224" s="3" t="s">
        <v>76</v>
      </c>
      <c r="D224" s="4" t="s">
        <v>585</v>
      </c>
      <c r="E224" s="3" t="s">
        <v>7</v>
      </c>
      <c r="F224" s="3" t="s">
        <v>22</v>
      </c>
      <c r="G224" s="4" t="s">
        <v>23</v>
      </c>
      <c r="H224" s="4" t="s">
        <v>23</v>
      </c>
      <c r="I224" s="4" t="s">
        <v>23</v>
      </c>
    </row>
    <row r="225" ht="34" customHeight="1" spans="1:9" x14ac:dyDescent="0.25">
      <c r="A225" s="3" t="s">
        <v>588</v>
      </c>
      <c r="B225" s="4" t="s">
        <v>552</v>
      </c>
      <c r="C225" s="3" t="s">
        <v>76</v>
      </c>
      <c r="D225" s="4" t="s">
        <v>589</v>
      </c>
      <c r="E225" s="3" t="s">
        <v>7</v>
      </c>
      <c r="F225" s="3" t="s">
        <v>22</v>
      </c>
      <c r="G225" s="4" t="s">
        <v>23</v>
      </c>
      <c r="H225" s="4" t="s">
        <v>23</v>
      </c>
      <c r="I225" s="4" t="s">
        <v>23</v>
      </c>
    </row>
    <row r="226" ht="34" customHeight="1" spans="1:9" x14ac:dyDescent="0.25">
      <c r="A226" s="3" t="s">
        <v>590</v>
      </c>
      <c r="B226" s="4" t="s">
        <v>552</v>
      </c>
      <c r="C226" s="3" t="s">
        <v>111</v>
      </c>
      <c r="D226" s="4" t="s">
        <v>591</v>
      </c>
      <c r="E226" s="3" t="s">
        <v>7</v>
      </c>
      <c r="F226" s="3" t="s">
        <v>22</v>
      </c>
      <c r="G226" s="4" t="s">
        <v>23</v>
      </c>
      <c r="H226" s="4" t="s">
        <v>23</v>
      </c>
      <c r="I226" s="4" t="s">
        <v>23</v>
      </c>
    </row>
    <row r="227" ht="34" customHeight="1" spans="1:9" x14ac:dyDescent="0.25">
      <c r="A227" s="3" t="s">
        <v>592</v>
      </c>
      <c r="B227" s="4" t="s">
        <v>552</v>
      </c>
      <c r="C227" s="3" t="s">
        <v>111</v>
      </c>
      <c r="D227" s="4" t="s">
        <v>594</v>
      </c>
      <c r="E227" s="3" t="s">
        <v>7</v>
      </c>
      <c r="F227" s="3" t="s">
        <v>22</v>
      </c>
      <c r="G227" s="4" t="s">
        <v>23</v>
      </c>
      <c r="H227" s="4" t="s">
        <v>23</v>
      </c>
      <c r="I227" s="4" t="s">
        <v>23</v>
      </c>
    </row>
    <row r="228" ht="34" customHeight="1" spans="1:9" x14ac:dyDescent="0.25">
      <c r="A228" s="3" t="s">
        <v>595</v>
      </c>
      <c r="B228" s="4" t="s">
        <v>552</v>
      </c>
      <c r="C228" s="3" t="s">
        <v>111</v>
      </c>
      <c r="D228" s="4" t="s">
        <v>596</v>
      </c>
      <c r="E228" s="3" t="s">
        <v>7</v>
      </c>
      <c r="F228" s="3" t="s">
        <v>22</v>
      </c>
      <c r="G228" s="4" t="s">
        <v>23</v>
      </c>
      <c r="H228" s="4" t="s">
        <v>23</v>
      </c>
      <c r="I228" s="4" t="s">
        <v>23</v>
      </c>
    </row>
    <row r="229" ht="34" customHeight="1" spans="1:9" x14ac:dyDescent="0.25">
      <c r="A229" s="3" t="s">
        <v>597</v>
      </c>
      <c r="B229" s="4" t="s">
        <v>552</v>
      </c>
      <c r="C229" s="3" t="s">
        <v>79</v>
      </c>
      <c r="D229" s="4" t="s">
        <v>599</v>
      </c>
      <c r="E229" s="3" t="s">
        <v>7</v>
      </c>
      <c r="F229" s="3" t="s">
        <v>22</v>
      </c>
      <c r="G229" s="4" t="s">
        <v>23</v>
      </c>
      <c r="H229" s="4" t="s">
        <v>23</v>
      </c>
      <c r="I229" s="4" t="s">
        <v>23</v>
      </c>
    </row>
    <row r="230" ht="34" customHeight="1" spans="1:9" x14ac:dyDescent="0.25">
      <c r="A230" s="3" t="s">
        <v>600</v>
      </c>
      <c r="B230" s="4" t="s">
        <v>552</v>
      </c>
      <c r="C230" s="3" t="s">
        <v>79</v>
      </c>
      <c r="D230" s="4" t="s">
        <v>601</v>
      </c>
      <c r="E230" s="3" t="s">
        <v>7</v>
      </c>
      <c r="F230" s="3" t="s">
        <v>22</v>
      </c>
      <c r="G230" s="4" t="s">
        <v>23</v>
      </c>
      <c r="H230" s="4" t="s">
        <v>23</v>
      </c>
      <c r="I230" s="4" t="s">
        <v>23</v>
      </c>
    </row>
  </sheetData>
  <autoFilter ref="A3:I230"/>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FormatPr defaultRowHeight="15" outlineLevelRow="0" outlineLevelCol="0" x14ac:dyDescent="55"/>
  <cols>
    <col min="1" max="1" width="12" customWidth="1"/>
    <col min="2" max="2" width="14" customWidth="1"/>
    <col min="3" max="3" width="40" customWidth="1"/>
    <col min="4" max="4" width="30" customWidth="1"/>
    <col min="5" max="7" width="10" customWidth="1"/>
  </cols>
  <sheetData>
    <row r="1" spans="1:1" x14ac:dyDescent="0.25">
      <c r="A1" s="7" t="s">
        <v>642</v>
      </c>
    </row>
    <row r="2" spans="1:1" x14ac:dyDescent="0.25">
      <c r="A2" s="8" t="s">
        <v>643</v>
      </c>
    </row>
    <row r="4" spans="1:1" x14ac:dyDescent="0.25">
      <c r="A4" s="14" t="s">
        <v>628</v>
      </c>
    </row>
    <row r="5" ht="30" customHeight="1" spans="1:7" x14ac:dyDescent="0.25">
      <c r="A5" s="1" t="s">
        <v>628</v>
      </c>
      <c r="B5" s="1"/>
      <c r="C5" s="1" t="s">
        <v>644</v>
      </c>
      <c r="D5" s="1" t="s">
        <v>645</v>
      </c>
      <c r="E5" s="1" t="s">
        <v>6</v>
      </c>
      <c r="F5" s="1" t="s">
        <v>621</v>
      </c>
      <c r="G5" s="1" t="s">
        <v>622</v>
      </c>
    </row>
    <row r="6" ht="34" customHeight="1" spans="1:7" x14ac:dyDescent="0.25">
      <c r="A6" s="4" t="s">
        <v>18</v>
      </c>
      <c r="B6" s="4"/>
      <c r="C6" s="4" t="s">
        <v>646</v>
      </c>
      <c r="D6" s="4" t="s">
        <v>647</v>
      </c>
      <c r="E6" s="10">
        <f>COUNTIFS('评估表'!$D$2:$D$241,$A6,'评估表'!$F$2:$F$241,"L1")</f>
        <v>7</v>
      </c>
      <c r="F6" s="10">
        <f>COUNTIFS('评估表'!$D$2:$D$241,$A6,'评估表'!$F$2:$F$241,"L2")</f>
        <v>12</v>
      </c>
      <c r="G6" s="10">
        <f>COUNTIFS('评估表'!$D$2:$D$241,$A6,'评估表'!$F$2:$F$241,"L3")</f>
        <v>3</v>
      </c>
    </row>
    <row r="7" ht="34" customHeight="1" spans="1:7" x14ac:dyDescent="0.25">
      <c r="A7" s="4" t="s">
        <v>32</v>
      </c>
      <c r="B7" s="4"/>
      <c r="C7" s="4" t="s">
        <v>648</v>
      </c>
      <c r="D7" s="4" t="s">
        <v>649</v>
      </c>
      <c r="E7" s="10">
        <f>COUNTIFS('评估表'!$D$2:$D$241,$A7,'评估表'!$F$2:$F$241,"L1")</f>
        <v>8</v>
      </c>
      <c r="F7" s="10">
        <f>COUNTIFS('评估表'!$D$2:$D$241,$A7,'评估表'!$F$2:$F$241,"L2")</f>
        <v>10</v>
      </c>
      <c r="G7" s="10">
        <f>COUNTIFS('评估表'!$D$2:$D$241,$A7,'评估表'!$F$2:$F$241,"L3")</f>
        <v>0</v>
      </c>
    </row>
    <row r="8" ht="34" customHeight="1" spans="1:7" x14ac:dyDescent="0.25">
      <c r="A8" s="4" t="s">
        <v>62</v>
      </c>
      <c r="B8" s="4"/>
      <c r="C8" s="4" t="s">
        <v>650</v>
      </c>
      <c r="D8" s="4" t="s">
        <v>651</v>
      </c>
      <c r="E8" s="10">
        <f>COUNTIFS('评估表'!$D$2:$D$241,$A8,'评估表'!$F$2:$F$241,"L1")</f>
        <v>18</v>
      </c>
      <c r="F8" s="10">
        <f>COUNTIFS('评估表'!$D$2:$D$241,$A8,'评估表'!$F$2:$F$241,"L2")</f>
        <v>28</v>
      </c>
      <c r="G8" s="10">
        <f>COUNTIFS('评估表'!$D$2:$D$241,$A8,'评估表'!$F$2:$F$241,"L3")</f>
        <v>2</v>
      </c>
    </row>
    <row r="9" ht="34" customHeight="1" spans="1:7" x14ac:dyDescent="0.25">
      <c r="A9" s="4" t="s">
        <v>76</v>
      </c>
      <c r="B9" s="4"/>
      <c r="C9" s="4" t="s">
        <v>652</v>
      </c>
      <c r="D9" s="4" t="s">
        <v>647</v>
      </c>
      <c r="E9" s="10">
        <f>COUNTIFS('评估表'!$D$2:$D$241,$A9,'评估表'!$F$2:$F$241,"L1")</f>
        <v>12</v>
      </c>
      <c r="F9" s="10">
        <f>COUNTIFS('评估表'!$D$2:$D$241,$A9,'评估表'!$F$2:$F$241,"L2")</f>
        <v>12</v>
      </c>
      <c r="G9" s="10">
        <f>COUNTIFS('评估表'!$D$2:$D$241,$A9,'评估表'!$F$2:$F$241,"L3")</f>
        <v>5</v>
      </c>
    </row>
    <row r="10" ht="34" customHeight="1" spans="1:7" x14ac:dyDescent="0.25">
      <c r="A10" s="4" t="s">
        <v>65</v>
      </c>
      <c r="B10" s="4"/>
      <c r="C10" s="4" t="s">
        <v>653</v>
      </c>
      <c r="D10" s="4" t="s">
        <v>647</v>
      </c>
      <c r="E10" s="10">
        <f>COUNTIFS('评估表'!$D$2:$D$241,$A10,'评估表'!$F$2:$F$241,"L1")</f>
        <v>16</v>
      </c>
      <c r="F10" s="10">
        <f>COUNTIFS('评估表'!$D$2:$D$241,$A10,'评估表'!$F$2:$F$241,"L2")</f>
        <v>16</v>
      </c>
      <c r="G10" s="10">
        <f>COUNTIFS('评估表'!$D$2:$D$241,$A10,'评估表'!$F$2:$F$241,"L3")</f>
        <v>0</v>
      </c>
    </row>
    <row r="11" ht="34" customHeight="1" spans="1:7" x14ac:dyDescent="0.25">
      <c r="A11" s="4" t="s">
        <v>51</v>
      </c>
      <c r="B11" s="4"/>
      <c r="C11" s="4" t="s">
        <v>654</v>
      </c>
      <c r="D11" s="4" t="s">
        <v>655</v>
      </c>
      <c r="E11" s="10">
        <f>COUNTIFS('评估表'!$D$2:$D$241,$A11,'评估表'!$F$2:$F$241,"L1")</f>
        <v>2</v>
      </c>
      <c r="F11" s="10">
        <f>COUNTIFS('评估表'!$D$2:$D$241,$A11,'评估表'!$F$2:$F$241,"L2")</f>
        <v>2</v>
      </c>
      <c r="G11" s="10">
        <f>COUNTIFS('评估表'!$D$2:$D$241,$A11,'评估表'!$F$2:$F$241,"L3")</f>
        <v>0</v>
      </c>
    </row>
    <row r="12" ht="34" customHeight="1" spans="1:7" x14ac:dyDescent="0.25">
      <c r="A12" s="4" t="s">
        <v>403</v>
      </c>
      <c r="B12" s="4"/>
      <c r="C12" s="4" t="s">
        <v>656</v>
      </c>
      <c r="D12" s="4" t="s">
        <v>657</v>
      </c>
      <c r="E12" s="10">
        <f>COUNTIFS('评估表'!$D$2:$D$241,$A12,'评估表'!$F$2:$F$241,"L1")</f>
        <v>3</v>
      </c>
      <c r="F12" s="10">
        <f>COUNTIFS('评估表'!$D$2:$D$241,$A12,'评估表'!$F$2:$F$241,"L2")</f>
        <v>11</v>
      </c>
      <c r="G12" s="10">
        <f>COUNTIFS('评估表'!$D$2:$D$241,$A12,'评估表'!$F$2:$F$241,"L3")</f>
        <v>0</v>
      </c>
    </row>
    <row r="13" ht="20" customHeight="1" spans="1:7" x14ac:dyDescent="0.25">
      <c r="A13" s="4" t="s">
        <v>232</v>
      </c>
      <c r="B13" s="4"/>
      <c r="C13" s="4" t="s">
        <v>658</v>
      </c>
      <c r="D13" s="4" t="s">
        <v>659</v>
      </c>
      <c r="E13" s="10">
        <f>COUNTIFS('评估表'!$D$2:$D$241,$A13,'评估表'!$F$2:$F$241,"L1")</f>
        <v>7</v>
      </c>
      <c r="F13" s="10">
        <f>COUNTIFS('评估表'!$D$2:$D$241,$A13,'评估表'!$F$2:$F$241,"L2")</f>
        <v>6</v>
      </c>
      <c r="G13" s="10">
        <f>COUNTIFS('评估表'!$D$2:$D$241,$A13,'评估表'!$F$2:$F$241,"L3")</f>
        <v>0</v>
      </c>
    </row>
    <row r="14" ht="20" customHeight="1" spans="1:7" x14ac:dyDescent="0.25">
      <c r="A14" s="4" t="s">
        <v>111</v>
      </c>
      <c r="B14" s="4"/>
      <c r="C14" s="4" t="s">
        <v>660</v>
      </c>
      <c r="D14" s="4" t="s">
        <v>647</v>
      </c>
      <c r="E14" s="10">
        <f>COUNTIFS('评估表'!$D$2:$D$241,$A14,'评估表'!$F$2:$F$241,"L1")</f>
        <v>13</v>
      </c>
      <c r="F14" s="10">
        <f>COUNTIFS('评估表'!$D$2:$D$241,$A14,'评估表'!$F$2:$F$241,"L2")</f>
        <v>26</v>
      </c>
      <c r="G14" s="10">
        <f>COUNTIFS('评估表'!$D$2:$D$241,$A14,'评估表'!$F$2:$F$241,"L3")</f>
        <v>1</v>
      </c>
    </row>
    <row r="15" ht="20" customHeight="1" spans="1:7" x14ac:dyDescent="0.25">
      <c r="A15" s="4" t="s">
        <v>79</v>
      </c>
      <c r="B15" s="4"/>
      <c r="C15" s="4" t="s">
        <v>661</v>
      </c>
      <c r="D15" s="4" t="s">
        <v>647</v>
      </c>
      <c r="E15" s="10">
        <f>COUNTIFS('评估表'!$D$2:$D$241,$A15,'评估表'!$F$2:$F$241,"L1")</f>
        <v>4</v>
      </c>
      <c r="F15" s="10">
        <f>COUNTIFS('评估表'!$D$2:$D$241,$A15,'评估表'!$F$2:$F$241,"L2")</f>
        <v>14</v>
      </c>
      <c r="G15" s="10">
        <f>COUNTIFS('评估表'!$D$2:$D$241,$A15,'评估表'!$F$2:$F$241,"L3")</f>
        <v>2</v>
      </c>
    </row>
    <row r="17" spans="1:1" x14ac:dyDescent="0.25">
      <c r="A17" s="8" t="s">
        <v>662</v>
      </c>
    </row>
    <row r="19" spans="1:1" x14ac:dyDescent="0.25">
      <c r="A19" s="14" t="s">
        <v>663</v>
      </c>
    </row>
    <row r="20" ht="30" customHeight="1" spans="1:7" x14ac:dyDescent="0.25">
      <c r="A20" s="1" t="s">
        <v>664</v>
      </c>
      <c r="B20" s="1" t="s">
        <v>665</v>
      </c>
      <c r="C20" s="1" t="s">
        <v>666</v>
      </c>
      <c r="D20" s="1" t="s">
        <v>667</v>
      </c>
      <c r="E20" s="1" t="s">
        <v>668</v>
      </c>
      <c r="F20" s="1"/>
      <c r="G20" s="1"/>
    </row>
    <row r="21" ht="20" customHeight="1" spans="1:7" x14ac:dyDescent="0.25">
      <c r="A21" s="10">
        <v>1</v>
      </c>
      <c r="B21" s="4" t="s">
        <v>669</v>
      </c>
      <c r="C21" s="4" t="s">
        <v>670</v>
      </c>
      <c r="D21" s="4" t="s">
        <v>671</v>
      </c>
      <c r="E21" s="4" t="s">
        <v>672</v>
      </c>
      <c r="F21" s="4"/>
      <c r="G21" s="4"/>
    </row>
    <row r="22" ht="20" customHeight="1" spans="1:7" x14ac:dyDescent="0.25">
      <c r="A22" s="10">
        <v>2</v>
      </c>
      <c r="B22" s="4" t="s">
        <v>673</v>
      </c>
      <c r="C22" s="4" t="s">
        <v>674</v>
      </c>
      <c r="D22" s="4" t="s">
        <v>675</v>
      </c>
      <c r="E22" s="4" t="s">
        <v>676</v>
      </c>
      <c r="F22" s="4"/>
      <c r="G22" s="4"/>
    </row>
    <row r="23" ht="20" customHeight="1" spans="1:7" x14ac:dyDescent="0.25">
      <c r="A23" s="10">
        <v>3</v>
      </c>
      <c r="B23" s="4" t="s">
        <v>677</v>
      </c>
      <c r="C23" s="4" t="s">
        <v>678</v>
      </c>
      <c r="D23" s="4" t="s">
        <v>679</v>
      </c>
      <c r="E23" s="4" t="s">
        <v>680</v>
      </c>
      <c r="F23" s="4"/>
      <c r="G23" s="4"/>
    </row>
    <row r="24" ht="20" customHeight="1" spans="1:7" x14ac:dyDescent="0.25">
      <c r="A24" s="10">
        <v>4</v>
      </c>
      <c r="B24" s="4" t="s">
        <v>681</v>
      </c>
      <c r="C24" s="4" t="s">
        <v>682</v>
      </c>
      <c r="D24" s="4" t="s">
        <v>683</v>
      </c>
      <c r="E24" s="4" t="s">
        <v>684</v>
      </c>
      <c r="F24" s="4"/>
      <c r="G24" s="4"/>
    </row>
    <row r="25" ht="20" customHeight="1" spans="1:7" x14ac:dyDescent="0.25">
      <c r="A25" s="10">
        <v>5</v>
      </c>
      <c r="B25" s="4" t="s">
        <v>685</v>
      </c>
      <c r="C25" s="4" t="s">
        <v>686</v>
      </c>
      <c r="D25" s="4" t="s">
        <v>675</v>
      </c>
      <c r="E25" s="4" t="s">
        <v>687</v>
      </c>
      <c r="F25" s="4"/>
      <c r="G25" s="4"/>
    </row>
    <row r="26" ht="20" customHeight="1" spans="1:7" x14ac:dyDescent="0.25">
      <c r="A26" s="10">
        <v>6</v>
      </c>
      <c r="B26" s="4" t="s">
        <v>688</v>
      </c>
      <c r="C26" s="4" t="s">
        <v>689</v>
      </c>
      <c r="D26" s="4" t="s">
        <v>65</v>
      </c>
      <c r="E26" s="4" t="s">
        <v>690</v>
      </c>
      <c r="F26" s="4"/>
      <c r="G26" s="4"/>
    </row>
    <row r="27" ht="34" customHeight="1" spans="1:7" x14ac:dyDescent="0.25">
      <c r="A27" s="10">
        <v>7</v>
      </c>
      <c r="B27" s="4" t="s">
        <v>691</v>
      </c>
      <c r="C27" s="4" t="s">
        <v>692</v>
      </c>
      <c r="D27" s="4" t="s">
        <v>51</v>
      </c>
      <c r="E27" s="4" t="s">
        <v>693</v>
      </c>
      <c r="F27" s="4"/>
      <c r="G27" s="4"/>
    </row>
    <row r="28" ht="20" customHeight="1" spans="1:7" x14ac:dyDescent="0.25">
      <c r="A28" s="10">
        <v>8</v>
      </c>
      <c r="B28" s="4" t="s">
        <v>694</v>
      </c>
      <c r="C28" s="4" t="s">
        <v>695</v>
      </c>
      <c r="D28" s="4" t="s">
        <v>62</v>
      </c>
      <c r="E28" s="4" t="s">
        <v>696</v>
      </c>
      <c r="F28" s="4"/>
      <c r="G28" s="4"/>
    </row>
    <row r="29" ht="20" customHeight="1" spans="1:7" x14ac:dyDescent="0.25">
      <c r="A29" s="10">
        <v>9</v>
      </c>
      <c r="B29" s="4" t="s">
        <v>697</v>
      </c>
      <c r="C29" s="4" t="s">
        <v>698</v>
      </c>
      <c r="D29" s="4" t="s">
        <v>699</v>
      </c>
      <c r="E29" s="4" t="s">
        <v>700</v>
      </c>
      <c r="F29" s="4"/>
      <c r="G29" s="4"/>
    </row>
    <row r="30" ht="34" customHeight="1" spans="1:7" x14ac:dyDescent="0.25">
      <c r="A30" s="10">
        <v>10</v>
      </c>
      <c r="B30" s="4" t="s">
        <v>701</v>
      </c>
      <c r="C30" s="4" t="s">
        <v>702</v>
      </c>
      <c r="D30" s="4" t="s">
        <v>79</v>
      </c>
      <c r="E30" s="4" t="s">
        <v>703</v>
      </c>
      <c r="F30" s="4"/>
      <c r="G30" s="4"/>
    </row>
  </sheetData>
  <mergeCells count="22">
    <mergeCell ref="A5:B5"/>
    <mergeCell ref="A6:B6"/>
    <mergeCell ref="A7:B7"/>
    <mergeCell ref="A8:B8"/>
    <mergeCell ref="A9:B9"/>
    <mergeCell ref="A10:B10"/>
    <mergeCell ref="A11:B11"/>
    <mergeCell ref="A12:B12"/>
    <mergeCell ref="A13:B13"/>
    <mergeCell ref="A14:B14"/>
    <mergeCell ref="A15:B15"/>
    <mergeCell ref="E20:G20"/>
    <mergeCell ref="E21:G21"/>
    <mergeCell ref="E22:G22"/>
    <mergeCell ref="E23:G23"/>
    <mergeCell ref="E24:G24"/>
    <mergeCell ref="E25:G25"/>
    <mergeCell ref="E26:G26"/>
    <mergeCell ref="E27:G27"/>
    <mergeCell ref="E28:G28"/>
    <mergeCell ref="E29:G29"/>
    <mergeCell ref="E30:G30"/>
  </mergeCell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1"/>
  <sheetFormatPr defaultRowHeight="15" outlineLevelRow="0" outlineLevelCol="0" x14ac:dyDescent="55"/>
  <cols>
    <col min="1" max="1" width="16" customWidth="1"/>
    <col min="2" max="2" width="96" customWidth="1"/>
  </cols>
  <sheetData>
    <row r="1" ht="26" customHeight="1" spans="1:1" x14ac:dyDescent="0.25">
      <c r="A1" s="19" t="s">
        <v>704</v>
      </c>
    </row>
    <row r="2" ht="34" customHeight="1" spans="1:2" x14ac:dyDescent="0.25">
      <c r="A2" s="20" t="s">
        <v>705</v>
      </c>
      <c r="B2" s="20" t="s">
        <v>706</v>
      </c>
    </row>
    <row r="3" ht="20" customHeight="1" spans="1:2" x14ac:dyDescent="0.25">
      <c r="A3" s="20" t="s">
        <v>707</v>
      </c>
      <c r="B3" s="21" t="s">
        <v>708</v>
      </c>
    </row>
    <row r="4" ht="20" customHeight="1" spans="1:2" x14ac:dyDescent="0.25">
      <c r="A4" s="20" t="s">
        <v>709</v>
      </c>
      <c r="B4" s="20" t="s">
        <v>710</v>
      </c>
    </row>
    <row r="5" ht="20" customHeight="1" spans="1:1" x14ac:dyDescent="0.25">
      <c r="A5" s="20" t="s">
        <v>23</v>
      </c>
    </row>
    <row r="6" ht="20" customHeight="1" spans="1:1" x14ac:dyDescent="0.25">
      <c r="A6" s="22" t="s">
        <v>711</v>
      </c>
    </row>
    <row r="7" ht="20" customHeight="1" spans="1:2" x14ac:dyDescent="0.25">
      <c r="A7" s="20" t="s">
        <v>712</v>
      </c>
      <c r="B7" s="6" t="s">
        <v>23</v>
      </c>
    </row>
    <row r="8" ht="20" customHeight="1" spans="1:2" x14ac:dyDescent="0.25">
      <c r="A8" s="20" t="s">
        <v>713</v>
      </c>
      <c r="B8" s="6" t="s">
        <v>23</v>
      </c>
    </row>
    <row r="9" ht="20" customHeight="1" spans="1:2" x14ac:dyDescent="0.25">
      <c r="A9" s="20" t="s">
        <v>714</v>
      </c>
      <c r="B9" s="6" t="s">
        <v>23</v>
      </c>
    </row>
    <row r="10" ht="20" customHeight="1" spans="1:2" x14ac:dyDescent="0.25">
      <c r="A10" s="20" t="s">
        <v>715</v>
      </c>
      <c r="B10" s="6" t="s">
        <v>23</v>
      </c>
    </row>
    <row r="11" ht="20" customHeight="1" spans="1:2" x14ac:dyDescent="0.25">
      <c r="A11" s="20" t="s">
        <v>606</v>
      </c>
      <c r="B11" s="20" t="s">
        <v>7</v>
      </c>
    </row>
    <row r="12" ht="20" customHeight="1" spans="1:1" x14ac:dyDescent="0.25">
      <c r="A12" s="20" t="s">
        <v>23</v>
      </c>
    </row>
    <row r="13" ht="20" customHeight="1" spans="1:1" x14ac:dyDescent="0.25">
      <c r="A13" s="22" t="s">
        <v>716</v>
      </c>
    </row>
    <row r="14" ht="20" customHeight="1" spans="1:2" x14ac:dyDescent="0.25">
      <c r="A14" s="20" t="s">
        <v>717</v>
      </c>
      <c r="B14" s="20" t="s">
        <v>718</v>
      </c>
    </row>
    <row r="15" ht="34" customHeight="1" spans="1:2" x14ac:dyDescent="0.25">
      <c r="A15" s="20" t="s">
        <v>10</v>
      </c>
      <c r="B15" s="20" t="s">
        <v>719</v>
      </c>
    </row>
    <row r="16" ht="34" customHeight="1" spans="1:2" x14ac:dyDescent="0.25">
      <c r="A16" s="20" t="s">
        <v>720</v>
      </c>
      <c r="B16" s="20" t="s">
        <v>721</v>
      </c>
    </row>
    <row r="17" ht="20" customHeight="1" spans="1:2" x14ac:dyDescent="0.25">
      <c r="A17" s="20" t="s">
        <v>722</v>
      </c>
      <c r="B17" s="20" t="s">
        <v>723</v>
      </c>
    </row>
    <row r="18" ht="20" customHeight="1" spans="1:1" x14ac:dyDescent="0.25">
      <c r="A18" s="20" t="s">
        <v>23</v>
      </c>
    </row>
    <row r="19" ht="20" customHeight="1" spans="1:1" x14ac:dyDescent="0.25">
      <c r="A19" s="22" t="s">
        <v>724</v>
      </c>
    </row>
    <row r="20" ht="34" customHeight="1" spans="1:2" x14ac:dyDescent="0.25">
      <c r="A20" s="20" t="s">
        <v>1</v>
      </c>
      <c r="B20" s="20" t="s">
        <v>725</v>
      </c>
    </row>
    <row r="21" ht="34" customHeight="1" spans="1:2" x14ac:dyDescent="0.25">
      <c r="A21" s="20" t="s">
        <v>3</v>
      </c>
      <c r="B21" s="20" t="s">
        <v>726</v>
      </c>
    </row>
  </sheetData>
  <hyperlinks>
    <hyperlink ref="B3" r:id="rId1"/>
  </hyperlinks>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评估表</vt:lpstr>
      <vt:lpstr>汇总</vt:lpstr>
      <vt:lpstr>差距清单</vt:lpstr>
      <vt:lpstr>架构视角</vt:lpstr>
      <vt:lpstr>说明</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2026-10-11T05:01:16Z</dcterms:created>
  <dcterms:modified xsi:type="dcterms:W3CDTF">2026-10-11T05:01:16Z</dcterms:modified>
</cp:coreProperties>
</file>